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ee Breakdown" sheetId="2" state="visible" r:id="rId2"/>
    <sheet xmlns:r="http://schemas.openxmlformats.org/officeDocument/2006/relationships" name="Rate Buildup" sheetId="3" state="visible" r:id="rId3"/>
    <sheet xmlns:r="http://schemas.openxmlformats.org/officeDocument/2006/relationships" name="Cross-Border" sheetId="4" state="visible" r:id="rId4"/>
    <sheet xmlns:r="http://schemas.openxmlformats.org/officeDocument/2006/relationships" name="Rate Decomposition" sheetId="5" state="visible" r:id="rId5"/>
    <sheet xmlns:r="http://schemas.openxmlformats.org/officeDocument/2006/relationships" name="Per-Txn FX" sheetId="6" state="visible" r:id="rId6"/>
    <sheet xmlns:r="http://schemas.openxmlformats.org/officeDocument/2006/relationships" name="Observations" sheetId="7" state="visible" r:id="rId7"/>
    <sheet xmlns:r="http://schemas.openxmlformats.org/officeDocument/2006/relationships" name="Merchant Setup" sheetId="8" state="visible" r:id="rId8"/>
    <sheet xmlns:r="http://schemas.openxmlformats.org/officeDocument/2006/relationships" name="Daily 2025-09" sheetId="9" state="visible" r:id="rId9"/>
    <sheet xmlns:r="http://schemas.openxmlformats.org/officeDocument/2006/relationships" name="Daily 2025-10" sheetId="10" state="visible" r:id="rId10"/>
    <sheet xmlns:r="http://schemas.openxmlformats.org/officeDocument/2006/relationships" name="Daily 2025-11" sheetId="11" state="visible" r:id="rId11"/>
    <sheet xmlns:r="http://schemas.openxmlformats.org/officeDocument/2006/relationships" name="Daily 2025-12" sheetId="12" state="visible" r:id="rId12"/>
    <sheet xmlns:r="http://schemas.openxmlformats.org/officeDocument/2006/relationships" name="Daily 2026-01" sheetId="13" state="visible" r:id="rId13"/>
  </sheets>
  <definedNames/>
  <calcPr calcId="124519" fullCalcOnLoad="1"/>
</workbook>
</file>

<file path=xl/styles.xml><?xml version="1.0" encoding="utf-8"?>
<styleSheet xmlns="http://schemas.openxmlformats.org/spreadsheetml/2006/main">
  <numFmts count="6">
    <numFmt numFmtId="164" formatCode="€#,##0.00;[Red]-€#,##0.00"/>
    <numFmt numFmtId="165" formatCode="0.000&quot;%&quot;"/>
    <numFmt numFmtId="166" formatCode="0.00&quot;%&quot;"/>
    <numFmt numFmtId="167" formatCode="0.0000&quot;%&quot;"/>
    <numFmt numFmtId="168" formatCode="0.0&quot; bps&quot;"/>
    <numFmt numFmtId="169" formatCode="0.0&quot;%&quot;"/>
  </numFmts>
  <fonts count="28">
    <font>
      <name val="Calibri"/>
      <family val="2"/>
      <color theme="1"/>
      <sz val="11"/>
      <scheme val="minor"/>
    </font>
    <font>
      <name val="Calibri"/>
      <b val="1"/>
      <sz val="14"/>
    </font>
    <font>
      <name val="Calibri"/>
      <i val="1"/>
      <color rgb="00666666"/>
      <sz val="10"/>
    </font>
    <font>
      <name val="Calibri"/>
      <b val="1"/>
      <color rgb="00FFFFFF"/>
      <sz val="10"/>
    </font>
    <font>
      <b val="1"/>
    </font>
    <font>
      <name val="Calibri"/>
      <b val="1"/>
      <sz val="10"/>
    </font>
    <font>
      <b val="1"/>
      <color rgb="000070C0"/>
    </font>
    <font>
      <b val="1"/>
      <color rgb="00C40000"/>
    </font>
    <font>
      <b val="1"/>
      <color rgb="001A1F36"/>
      <sz val="11"/>
    </font>
    <font>
      <color rgb="00555555"/>
      <sz val="10"/>
    </font>
    <font>
      <b val="1"/>
      <sz val="10"/>
    </font>
    <font>
      <b val="1"/>
      <color rgb="000070C0"/>
      <sz val="12"/>
    </font>
    <font>
      <i val="1"/>
      <color rgb="00666666"/>
      <sz val="10"/>
    </font>
    <font>
      <b val="1"/>
      <color rgb="001A1F36"/>
      <sz val="12"/>
    </font>
    <font>
      <color rgb="002E7D32"/>
    </font>
    <font>
      <color rgb="000b0f19"/>
      <sz val="11"/>
    </font>
    <font>
      <b val="1"/>
      <sz val="11"/>
    </font>
    <font>
      <b val="1"/>
      <color rgb="006F42C1"/>
      <sz val="14"/>
    </font>
    <font>
      <b val="1"/>
      <color rgb="000070C0"/>
      <sz val="14"/>
    </font>
    <font>
      <b val="1"/>
      <color rgb="002E7D32"/>
      <sz val="14"/>
    </font>
    <font>
      <b val="1"/>
      <color rgb="000070C0"/>
      <sz val="10"/>
    </font>
    <font>
      <b val="1"/>
      <color rgb="002E7D32"/>
      <sz val="10"/>
    </font>
    <font>
      <b val="1"/>
      <color rgb="00C45000"/>
    </font>
    <font>
      <b val="1"/>
      <color rgb="00C40000"/>
      <sz val="10"/>
    </font>
    <font>
      <color rgb="00333333"/>
      <sz val="10"/>
    </font>
    <font>
      <b val="1"/>
      <color rgb="00B07000"/>
      <sz val="10"/>
    </font>
    <font>
      <b val="1"/>
      <color rgb="00C40000"/>
      <sz val="11"/>
    </font>
    <font>
      <color rgb="00666666"/>
      <sz val="10"/>
    </font>
  </fonts>
  <fills count="11">
    <fill>
      <patternFill/>
    </fill>
    <fill>
      <patternFill patternType="gray125"/>
    </fill>
    <fill>
      <patternFill patternType="solid">
        <fgColor rgb="001A1F36"/>
      </patternFill>
    </fill>
    <fill>
      <patternFill patternType="solid">
        <fgColor rgb="00EAF4FB"/>
      </patternFill>
    </fill>
    <fill>
      <patternFill patternType="solid">
        <fgColor rgb="00FBEDED"/>
      </patternFill>
    </fill>
    <fill>
      <patternFill patternType="solid">
        <fgColor rgb="00C6E0F5"/>
      </patternFill>
    </fill>
    <fill>
      <patternFill patternType="solid">
        <fgColor rgb="00F8C8C8"/>
      </patternFill>
    </fill>
    <fill>
      <patternFill patternType="solid">
        <fgColor rgb="00E8F8EE"/>
      </patternFill>
    </fill>
    <fill>
      <patternFill patternType="solid">
        <fgColor rgb="00F4F7FC"/>
      </patternFill>
    </fill>
    <fill>
      <patternFill patternType="solid">
        <fgColor rgb="00FFF7E0"/>
      </patternFill>
    </fill>
    <fill>
      <patternFill patternType="solid">
        <fgColor rgb="00FFE9E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0" fillId="0" borderId="1" applyAlignment="1" pivotButton="0" quotePrefix="0" xfId="0">
      <alignment horizontal="center"/>
    </xf>
    <xf numFmtId="164" fontId="0" fillId="0" borderId="1" applyAlignment="1" pivotButton="0" quotePrefix="0" xfId="0">
      <alignment horizontal="right"/>
    </xf>
    <xf numFmtId="3" fontId="0" fillId="0" borderId="1" applyAlignment="1" pivotButton="0" quotePrefix="0" xfId="0">
      <alignment horizontal="right"/>
    </xf>
    <xf numFmtId="165" fontId="0" fillId="0" borderId="1" applyAlignment="1" pivotButton="0" quotePrefix="0" xfId="0">
      <alignment horizontal="right"/>
    </xf>
    <xf numFmtId="0" fontId="4" fillId="0" borderId="0" pivotButton="0" quotePrefix="0" xfId="0"/>
    <xf numFmtId="164" fontId="5" fillId="0" borderId="1" applyAlignment="1" pivotButton="0" quotePrefix="0" xfId="0">
      <alignment horizontal="right"/>
    </xf>
    <xf numFmtId="3" fontId="5" fillId="0" borderId="1" applyAlignment="1" pivotButton="0" quotePrefix="0" xfId="0">
      <alignment horizontal="right"/>
    </xf>
    <xf numFmtId="165" fontId="0" fillId="0" borderId="0" pivotButton="0" quotePrefix="0" xfId="0"/>
    <xf numFmtId="166" fontId="0" fillId="0" borderId="1" applyAlignment="1" pivotButton="0" quotePrefix="0" xfId="0">
      <alignment horizontal="right"/>
    </xf>
    <xf numFmtId="2" fontId="0" fillId="0" borderId="1" applyAlignment="1" pivotButton="0" quotePrefix="0" xfId="0">
      <alignment horizontal="right"/>
    </xf>
    <xf numFmtId="2" fontId="6" fillId="3" borderId="1" applyAlignment="1" pivotButton="0" quotePrefix="0" xfId="0">
      <alignment horizontal="right"/>
    </xf>
    <xf numFmtId="2" fontId="7" fillId="4" borderId="1" applyAlignment="1" pivotButton="0" quotePrefix="0" xfId="0">
      <alignment horizontal="right"/>
    </xf>
    <xf numFmtId="167" fontId="0" fillId="0" borderId="1" applyAlignment="1" pivotButton="0" quotePrefix="0" xfId="0">
      <alignment horizontal="right"/>
    </xf>
    <xf numFmtId="0" fontId="4" fillId="0" borderId="1" applyAlignment="1" pivotButton="0" quotePrefix="0" xfId="0">
      <alignment horizontal="center"/>
    </xf>
    <xf numFmtId="2" fontId="4" fillId="0" borderId="1" applyAlignment="1" pivotButton="0" quotePrefix="0" xfId="0">
      <alignment horizontal="right"/>
    </xf>
    <xf numFmtId="2" fontId="4" fillId="5" borderId="1" applyAlignment="1" pivotButton="0" quotePrefix="0" xfId="0">
      <alignment horizontal="right"/>
    </xf>
    <xf numFmtId="2" fontId="4" fillId="6" borderId="1" applyAlignment="1" pivotButton="0" quotePrefix="0" xfId="0">
      <alignment horizontal="right"/>
    </xf>
    <xf numFmtId="167" fontId="4" fillId="0" borderId="1" applyAlignment="1" pivotButton="0" quotePrefix="0" xfId="0">
      <alignment horizontal="right"/>
    </xf>
    <xf numFmtId="0" fontId="8" fillId="0" borderId="0" pivotButton="0" quotePrefix="0" xfId="0"/>
    <xf numFmtId="0" fontId="9" fillId="0" borderId="0" applyAlignment="1" pivotButton="0" quotePrefix="0" xfId="0">
      <alignment horizontal="left" wrapText="1"/>
    </xf>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0" fillId="0" borderId="1" pivotButton="0" quotePrefix="0" xfId="0"/>
    <xf numFmtId="168" fontId="0" fillId="0" borderId="1" applyAlignment="1" pivotButton="0" quotePrefix="0" xfId="0">
      <alignment horizontal="right"/>
    </xf>
    <xf numFmtId="0" fontId="14" fillId="0" borderId="1" applyAlignment="1" pivotButton="0" quotePrefix="0" xfId="0">
      <alignment horizontal="right"/>
    </xf>
    <xf numFmtId="0" fontId="9" fillId="0" borderId="1" applyAlignment="1" pivotButton="0" quotePrefix="0" xfId="0">
      <alignment horizontal="left" wrapText="1"/>
    </xf>
    <xf numFmtId="0" fontId="6" fillId="0" borderId="1" applyAlignment="1" pivotButton="0" quotePrefix="0" xfId="0">
      <alignment horizontal="right"/>
    </xf>
    <xf numFmtId="0" fontId="15" fillId="0" borderId="0" applyAlignment="1" pivotButton="0" quotePrefix="0" xfId="0">
      <alignment horizontal="left" vertical="top" wrapText="1"/>
    </xf>
    <xf numFmtId="0" fontId="16" fillId="0" borderId="0" pivotButton="0" quotePrefix="0" xfId="0"/>
    <xf numFmtId="0" fontId="17" fillId="0" borderId="0" pivotButton="0" quotePrefix="0" xfId="0"/>
    <xf numFmtId="0" fontId="18" fillId="0" borderId="0" pivotButton="0" quotePrefix="0" xfId="0"/>
    <xf numFmtId="0" fontId="19" fillId="0" borderId="0" pivotButton="0" quotePrefix="0" xfId="0"/>
    <xf numFmtId="0" fontId="10" fillId="0" borderId="1" applyAlignment="1" pivotButton="0" quotePrefix="0" xfId="0">
      <alignment horizontal="left" vertical="center" wrapText="1"/>
    </xf>
    <xf numFmtId="0" fontId="20" fillId="3" borderId="1" applyAlignment="1" pivotButton="0" quotePrefix="0" xfId="0">
      <alignment horizontal="center" vertical="center"/>
    </xf>
    <xf numFmtId="168" fontId="16" fillId="0" borderId="1" applyAlignment="1" pivotButton="0" quotePrefix="0" xfId="0">
      <alignment horizontal="right" vertical="center"/>
    </xf>
    <xf numFmtId="165" fontId="0" fillId="0" borderId="1" applyAlignment="1" pivotButton="0" quotePrefix="0" xfId="0">
      <alignment horizontal="right" vertical="center"/>
    </xf>
    <xf numFmtId="169" fontId="0" fillId="0" borderId="1" applyAlignment="1" pivotButton="0" quotePrefix="0" xfId="0">
      <alignment horizontal="right" vertical="center"/>
    </xf>
    <xf numFmtId="0" fontId="9" fillId="0" borderId="1" applyAlignment="1" pivotButton="0" quotePrefix="0" xfId="0">
      <alignment horizontal="left" vertical="center" wrapText="1"/>
    </xf>
    <xf numFmtId="0" fontId="21" fillId="7" borderId="1" applyAlignment="1" pivotButton="0" quotePrefix="0" xfId="0">
      <alignment horizontal="center" vertical="center"/>
    </xf>
    <xf numFmtId="0" fontId="8" fillId="8" borderId="1" pivotButton="0" quotePrefix="0" xfId="0"/>
    <xf numFmtId="0" fontId="0" fillId="8" borderId="1" pivotButton="0" quotePrefix="0" xfId="0"/>
    <xf numFmtId="168" fontId="8" fillId="8" borderId="1" pivotButton="0" quotePrefix="0" xfId="0"/>
    <xf numFmtId="165" fontId="8" fillId="8" borderId="1" pivotButton="0" quotePrefix="0" xfId="0"/>
    <xf numFmtId="169" fontId="8" fillId="8" borderId="1" pivotButton="0" quotePrefix="0" xfId="0"/>
    <xf numFmtId="164" fontId="6" fillId="0" borderId="1" applyAlignment="1" pivotButton="0" quotePrefix="0" xfId="0">
      <alignment horizontal="right"/>
    </xf>
    <xf numFmtId="3" fontId="0" fillId="0" borderId="1" applyAlignment="1" pivotButton="0" quotePrefix="0" xfId="0">
      <alignment horizontal="center"/>
    </xf>
    <xf numFmtId="164" fontId="22" fillId="0" borderId="1" applyAlignment="1" pivotButton="0" quotePrefix="0" xfId="0">
      <alignment horizontal="right"/>
    </xf>
    <xf numFmtId="0" fontId="9" fillId="0" borderId="0" applyAlignment="1" pivotButton="0" quotePrefix="0" xfId="0">
      <alignment horizontal="left" vertical="top" wrapText="1"/>
    </xf>
    <xf numFmtId="0" fontId="23" fillId="4" borderId="1" applyAlignment="1" pivotButton="0" quotePrefix="0" xfId="0">
      <alignment horizontal="center" vertical="center"/>
    </xf>
    <xf numFmtId="0" fontId="9" fillId="0" borderId="1" applyAlignment="1" pivotButton="0" quotePrefix="0" xfId="0">
      <alignment horizontal="left" vertical="center"/>
    </xf>
    <xf numFmtId="0" fontId="8" fillId="0" borderId="1" applyAlignment="1" pivotButton="0" quotePrefix="0" xfId="0">
      <alignment horizontal="left" vertical="center" wrapText="1"/>
    </xf>
    <xf numFmtId="0" fontId="24" fillId="0" borderId="1" applyAlignment="1" pivotButton="0" quotePrefix="0" xfId="0">
      <alignment horizontal="left" vertical="top" wrapText="1"/>
    </xf>
    <xf numFmtId="0" fontId="25" fillId="9" borderId="1" applyAlignment="1" pivotButton="0" quotePrefix="0" xfId="0">
      <alignment horizontal="center" vertical="center"/>
    </xf>
    <xf numFmtId="0" fontId="10" fillId="0" borderId="0" applyAlignment="1" pivotButton="0" quotePrefix="0" xfId="0">
      <alignment horizontal="left"/>
    </xf>
    <xf numFmtId="0" fontId="0" fillId="0" borderId="0" applyAlignment="1" pivotButton="0" quotePrefix="0" xfId="0">
      <alignment horizontal="left"/>
    </xf>
    <xf numFmtId="0" fontId="8" fillId="8" borderId="0" pivotButton="0" quotePrefix="0" xfId="0"/>
    <xf numFmtId="0" fontId="0" fillId="0" borderId="1" applyAlignment="1" pivotButton="0" quotePrefix="0" xfId="0">
      <alignment horizontal="left"/>
    </xf>
    <xf numFmtId="0" fontId="0" fillId="0" borderId="1" applyAlignment="1" pivotButton="0" quotePrefix="0" xfId="0">
      <alignment horizontal="right"/>
    </xf>
    <xf numFmtId="0" fontId="26" fillId="0" borderId="0" pivotButton="0" quotePrefix="0" xfId="0"/>
    <xf numFmtId="0" fontId="27" fillId="0" borderId="0" applyAlignment="1" pivotButton="0" quotePrefix="0" xfId="0">
      <alignment horizontal="left" wrapText="1"/>
    </xf>
    <xf numFmtId="0" fontId="0" fillId="10" borderId="1" applyAlignment="1" pivotButton="0" quotePrefix="0" xfId="0">
      <alignment horizontal="center"/>
    </xf>
    <xf numFmtId="0" fontId="0" fillId="10" borderId="1" applyAlignment="1" pivotButton="0" quotePrefix="0" xfId="0">
      <alignment horizontal="left"/>
    </xf>
    <xf numFmtId="164" fontId="0" fillId="10" borderId="1" applyAlignment="1" pivotButton="0" quotePrefix="0" xfId="0">
      <alignment horizontal="right"/>
    </xf>
    <xf numFmtId="3" fontId="0" fillId="1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pane ySplit="5" topLeftCell="A6" activePane="bottomLeft" state="frozen"/>
      <selection pane="bottomLeft" activeCell="A1" sqref="A1"/>
    </sheetView>
  </sheetViews>
  <sheetFormatPr baseColWidth="8" defaultRowHeight="15"/>
  <cols>
    <col width="11" customWidth="1" min="1" max="1"/>
    <col width="16" customWidth="1" min="2" max="2"/>
    <col width="7" customWidth="1" min="3" max="3"/>
    <col width="12" customWidth="1" min="4" max="4"/>
    <col width="14" customWidth="1" min="5" max="5"/>
    <col width="9" customWidth="1" min="6" max="6"/>
    <col width="10" customWidth="1" min="7" max="7"/>
    <col width="14" customWidth="1" min="8" max="8"/>
    <col width="12" customWidth="1" min="9" max="9"/>
    <col width="14" customWidth="1" min="10" max="10"/>
    <col width="14" customWidth="1" min="11" max="11"/>
    <col width="16" customWidth="1" min="12" max="12"/>
    <col width="11" customWidth="1" min="13" max="13"/>
    <col width="12" customWidth="1" min="14" max="14"/>
    <col width="12" customWidth="1" min="15" max="15"/>
    <col width="12" customWidth="1" min="16" max="16"/>
    <col width="16" customWidth="1" min="17" max="17"/>
    <col width="14" customWidth="1" min="18" max="18"/>
    <col width="14" customWidth="1" min="19" max="19"/>
  </cols>
  <sheetData>
    <row r="1">
      <c r="A1" s="1" t="inlineStr">
        <is>
          <t>Nexi Acquirer Statement Analysis</t>
        </is>
      </c>
    </row>
    <row r="2">
      <c r="A2" s="2" t="inlineStr">
        <is>
          <t>Merchant: OVER THE LUX S.R.L. | Period: 2025-09 to 2026-01 | Currency: EUR</t>
        </is>
      </c>
    </row>
    <row r="3">
      <c r="A3" s="2" t="inlineStr">
        <is>
          <t>Total Volume: €839,433.04  |  Total Fees: €21,329.90  |  Blended Effective Rate: 2.538%</t>
        </is>
      </c>
    </row>
    <row r="5">
      <c r="A5" s="3" t="inlineStr">
        <is>
          <t>Period</t>
        </is>
      </c>
      <c r="B5" s="3" t="inlineStr">
        <is>
          <t>Volume (Gross)</t>
        </is>
      </c>
      <c r="C5" s="3" t="inlineStr">
        <is>
          <t>Txns</t>
        </is>
      </c>
      <c r="D5" s="3" t="inlineStr">
        <is>
          <t>Avg Ticket</t>
        </is>
      </c>
      <c r="E5" s="3" t="inlineStr">
        <is>
          <t>Refund Amt</t>
        </is>
      </c>
      <c r="F5" s="3" t="inlineStr">
        <is>
          <t>Refunds</t>
        </is>
      </c>
      <c r="G5" s="3" t="inlineStr">
        <is>
          <t>Refund %</t>
        </is>
      </c>
      <c r="H5" s="3" t="inlineStr">
        <is>
          <t>Total Fees</t>
        </is>
      </c>
      <c r="I5" s="3" t="inlineStr">
        <is>
          <t>Effective %</t>
        </is>
      </c>
      <c r="J5" s="3" t="inlineStr">
        <is>
          <t>Interchange</t>
        </is>
      </c>
      <c r="K5" s="3" t="inlineStr">
        <is>
          <t>Scheme</t>
        </is>
      </c>
      <c r="L5" s="3" t="inlineStr">
        <is>
          <t>Acquirer Markup</t>
        </is>
      </c>
      <c r="M5" s="3" t="inlineStr">
        <is>
          <t>IC % Vol</t>
        </is>
      </c>
      <c r="N5" s="3" t="inlineStr">
        <is>
          <t>Scheme % Vol</t>
        </is>
      </c>
      <c r="O5" s="3" t="inlineStr">
        <is>
          <t>Markup % Vol</t>
        </is>
      </c>
      <c r="P5" s="3" t="inlineStr">
        <is>
          <t>Stamp Tax</t>
        </is>
      </c>
      <c r="Q5" s="3" t="inlineStr">
        <is>
          <t>Acquiring EUR Fixed</t>
        </is>
      </c>
      <c r="R5" s="3" t="inlineStr">
        <is>
          <t>Total Debited</t>
        </is>
      </c>
      <c r="S5" s="3" t="inlineStr">
        <is>
          <t>Net Settled</t>
        </is>
      </c>
    </row>
    <row r="6">
      <c r="A6" s="4" t="inlineStr">
        <is>
          <t>2025-09</t>
        </is>
      </c>
      <c r="B6" s="5" t="n">
        <v>253379.5</v>
      </c>
      <c r="C6" s="6" t="n">
        <v>32</v>
      </c>
      <c r="D6" s="5" t="n">
        <v>7918.11</v>
      </c>
      <c r="E6" s="5" t="n">
        <v>89845.5</v>
      </c>
      <c r="F6" s="6" t="n">
        <v>4</v>
      </c>
      <c r="G6" s="7" t="n">
        <v>35.459</v>
      </c>
      <c r="H6" s="5" t="n">
        <v>6528.91</v>
      </c>
      <c r="I6" s="7" t="n">
        <v>2.575</v>
      </c>
      <c r="J6" s="5" t="n">
        <v>4999.78</v>
      </c>
      <c r="K6" s="5" t="n">
        <v>2057.26</v>
      </c>
      <c r="L6" s="5" t="n">
        <v>-532.63</v>
      </c>
      <c r="M6" s="7" t="n">
        <v>1.973</v>
      </c>
      <c r="N6" s="7" t="n">
        <v>0.8120000000000001</v>
      </c>
      <c r="O6" s="7" t="n">
        <v>-0.21</v>
      </c>
      <c r="P6" s="5" t="n">
        <v>2</v>
      </c>
      <c r="Q6" s="5" t="n">
        <v>2.5</v>
      </c>
      <c r="R6" s="5" t="n">
        <v>6528.91</v>
      </c>
      <c r="S6" s="5" t="n">
        <v>253379.5</v>
      </c>
    </row>
    <row r="7">
      <c r="A7" s="4" t="inlineStr">
        <is>
          <t>2025-10</t>
        </is>
      </c>
      <c r="B7" s="5" t="n">
        <v>45580.04</v>
      </c>
      <c r="C7" s="6" t="n">
        <v>22</v>
      </c>
      <c r="D7" s="5" t="n">
        <v>2071.82</v>
      </c>
      <c r="E7" s="5" t="n">
        <v>8625</v>
      </c>
      <c r="F7" s="6" t="n">
        <v>1</v>
      </c>
      <c r="G7" s="7" t="n">
        <v>18.923</v>
      </c>
      <c r="H7" s="5" t="n">
        <v>1162.11</v>
      </c>
      <c r="I7" s="7" t="n">
        <v>2.54</v>
      </c>
      <c r="J7" s="5" t="n">
        <v>665.64</v>
      </c>
      <c r="K7" s="5" t="n">
        <v>295.54</v>
      </c>
      <c r="L7" s="5" t="n">
        <v>196.43</v>
      </c>
      <c r="M7" s="7" t="n">
        <v>1.46</v>
      </c>
      <c r="N7" s="7" t="n">
        <v>0.648</v>
      </c>
      <c r="O7" s="7" t="n">
        <v>0.431</v>
      </c>
      <c r="P7" s="5" t="n">
        <v>2</v>
      </c>
      <c r="Q7" s="5" t="n">
        <v>2.5</v>
      </c>
      <c r="R7" s="5" t="n">
        <v>1162.11</v>
      </c>
      <c r="S7" s="5" t="n">
        <v>37179.29</v>
      </c>
    </row>
    <row r="8">
      <c r="A8" s="4" t="inlineStr">
        <is>
          <t>2025-11</t>
        </is>
      </c>
      <c r="B8" s="5" t="n">
        <v>251228.5</v>
      </c>
      <c r="C8" s="6" t="n">
        <v>13</v>
      </c>
      <c r="D8" s="5" t="n">
        <v>19325.27</v>
      </c>
      <c r="E8" s="5" t="n">
        <v>0</v>
      </c>
      <c r="F8" s="6" t="n">
        <v>0</v>
      </c>
      <c r="G8" s="7" t="n">
        <v>0</v>
      </c>
      <c r="H8" s="5" t="n">
        <v>6483.5</v>
      </c>
      <c r="I8" s="7" t="n">
        <v>2.579</v>
      </c>
      <c r="J8" s="5" t="n">
        <v>3590.66</v>
      </c>
      <c r="K8" s="5" t="n">
        <v>2160.34</v>
      </c>
      <c r="L8" s="5" t="n">
        <v>728</v>
      </c>
      <c r="M8" s="7" t="n">
        <v>1.429</v>
      </c>
      <c r="N8" s="7" t="n">
        <v>0.86</v>
      </c>
      <c r="O8" s="7" t="n">
        <v>0.29</v>
      </c>
      <c r="P8" s="5" t="n">
        <v>2</v>
      </c>
      <c r="Q8" s="5" t="n">
        <v>2.5</v>
      </c>
      <c r="R8" s="5" t="n">
        <v>6483.5</v>
      </c>
      <c r="S8" s="5" t="n">
        <v>251228.5</v>
      </c>
    </row>
    <row r="9">
      <c r="A9" s="4" t="inlineStr">
        <is>
          <t>2025-12</t>
        </is>
      </c>
      <c r="B9" s="5" t="n">
        <v>177397</v>
      </c>
      <c r="C9" s="6" t="n">
        <v>18</v>
      </c>
      <c r="D9" s="5" t="n">
        <v>9855.389999999999</v>
      </c>
      <c r="E9" s="5" t="n">
        <v>1050</v>
      </c>
      <c r="F9" s="6" t="n">
        <v>4</v>
      </c>
      <c r="G9" s="7" t="n">
        <v>0.592</v>
      </c>
      <c r="H9" s="5" t="n">
        <v>4447.43</v>
      </c>
      <c r="I9" s="7" t="n">
        <v>2.505</v>
      </c>
      <c r="J9" s="5" t="n">
        <v>2949.99</v>
      </c>
      <c r="K9" s="5" t="n">
        <v>1425.25</v>
      </c>
      <c r="L9" s="5" t="n">
        <v>67.69</v>
      </c>
      <c r="M9" s="7" t="n">
        <v>1.663</v>
      </c>
      <c r="N9" s="7" t="n">
        <v>0.803</v>
      </c>
      <c r="O9" s="7" t="n">
        <v>0.038</v>
      </c>
      <c r="P9" s="5" t="n">
        <v>2</v>
      </c>
      <c r="Q9" s="5" t="n">
        <v>2.5</v>
      </c>
      <c r="R9" s="5" t="n">
        <v>4447.43</v>
      </c>
      <c r="S9" s="5" t="n">
        <v>177397</v>
      </c>
    </row>
    <row r="10">
      <c r="A10" s="4" t="inlineStr">
        <is>
          <t>2026-01</t>
        </is>
      </c>
      <c r="B10" s="5" t="n">
        <v>111848</v>
      </c>
      <c r="C10" s="6" t="n">
        <v>21</v>
      </c>
      <c r="D10" s="5" t="n">
        <v>5326.1</v>
      </c>
      <c r="E10" s="5" t="n">
        <v>250</v>
      </c>
      <c r="F10" s="6" t="n">
        <v>1</v>
      </c>
      <c r="G10" s="7" t="n">
        <v>0.224</v>
      </c>
      <c r="H10" s="5" t="n">
        <v>2707.95</v>
      </c>
      <c r="I10" s="7" t="n">
        <v>2.417</v>
      </c>
      <c r="J10" s="5" t="n">
        <v>1656.6</v>
      </c>
      <c r="K10" s="5" t="n">
        <v>834.51</v>
      </c>
      <c r="L10" s="5" t="n">
        <v>212.34</v>
      </c>
      <c r="M10" s="7" t="n">
        <v>1.481</v>
      </c>
      <c r="N10" s="7" t="n">
        <v>0.746</v>
      </c>
      <c r="O10" s="7" t="n">
        <v>0.19</v>
      </c>
      <c r="P10" s="5" t="n">
        <v>2</v>
      </c>
      <c r="Q10" s="5" t="n">
        <v>2.5</v>
      </c>
      <c r="R10" s="5" t="n">
        <v>2707.95</v>
      </c>
      <c r="S10" s="5" t="n">
        <v>111848</v>
      </c>
    </row>
    <row r="11">
      <c r="A11" s="8" t="inlineStr">
        <is>
          <t>TOTAL</t>
        </is>
      </c>
      <c r="B11" s="9" t="n">
        <v>839433.04</v>
      </c>
      <c r="C11" s="10" t="n">
        <v>106</v>
      </c>
      <c r="E11" s="9" t="n">
        <v>99770.5</v>
      </c>
      <c r="F11" s="10" t="n">
        <v>10</v>
      </c>
      <c r="H11" s="9" t="n">
        <v>21329.9</v>
      </c>
      <c r="I11" s="11" t="n">
        <v>2.538</v>
      </c>
      <c r="J11" s="9" t="n">
        <v>13862.67</v>
      </c>
      <c r="K11" s="9" t="n">
        <v>6772.900000000001</v>
      </c>
      <c r="L11" s="9" t="n">
        <v>671.83</v>
      </c>
      <c r="P11" s="9" t="n">
        <v>10</v>
      </c>
      <c r="Q11" s="9" t="n">
        <v>12.5</v>
      </c>
      <c r="R11" s="9" t="n">
        <v>21329.9</v>
      </c>
      <c r="S11" s="9" t="n">
        <v>831032.29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4" topLeftCell="A5" activePane="bottomLeft" state="frozen"/>
      <selection pane="bottomLeft" activeCell="A1" sqref="A1"/>
    </sheetView>
  </sheetViews>
  <sheetFormatPr baseColWidth="8" defaultRowHeight="15"/>
  <cols>
    <col width="11" customWidth="1" min="1" max="1"/>
    <col width="16" customWidth="1" min="2" max="2"/>
    <col width="14" customWidth="1" min="3" max="3"/>
    <col width="16" customWidth="1" min="4" max="4"/>
    <col width="14" customWidth="1" min="5" max="5"/>
    <col width="18" customWidth="1" min="6" max="6"/>
    <col width="12" customWidth="1" min="7" max="7"/>
    <col width="14" customWidth="1" min="8" max="8"/>
    <col width="18" customWidth="1" min="9" max="9"/>
    <col width="16" customWidth="1" min="10" max="10"/>
  </cols>
  <sheetData>
    <row r="1">
      <c r="A1" s="1" t="inlineStr">
        <is>
          <t>Fee Composition by Month (€)</t>
        </is>
      </c>
    </row>
    <row r="2">
      <c r="A2" s="2" t="inlineStr">
        <is>
          <t>Shows what share of fees is interchange vs scheme vs acquirer markup vs stamp tax</t>
        </is>
      </c>
    </row>
    <row r="4">
      <c r="A4" s="3" t="inlineStr">
        <is>
          <t>Period</t>
        </is>
      </c>
      <c r="B4" s="3" t="inlineStr">
        <is>
          <t>Interchange (€)</t>
        </is>
      </c>
      <c r="C4" s="3" t="inlineStr">
        <is>
          <t>Interchange %</t>
        </is>
      </c>
      <c r="D4" s="3" t="inlineStr">
        <is>
          <t>Scheme (€)</t>
        </is>
      </c>
      <c r="E4" s="3" t="inlineStr">
        <is>
          <t>Scheme %</t>
        </is>
      </c>
      <c r="F4" s="3" t="inlineStr">
        <is>
          <t>Acquirer Markup (€)</t>
        </is>
      </c>
      <c r="G4" s="3" t="inlineStr">
        <is>
          <t>Markup %</t>
        </is>
      </c>
      <c r="H4" s="3" t="inlineStr">
        <is>
          <t>Stamp Tax (€)</t>
        </is>
      </c>
      <c r="I4" s="3" t="inlineStr">
        <is>
          <t>Acquiring EUR Fixed</t>
        </is>
      </c>
      <c r="J4" s="3" t="inlineStr">
        <is>
          <t>Total Fees (€)</t>
        </is>
      </c>
    </row>
    <row r="5">
      <c r="A5" s="4" t="inlineStr">
        <is>
          <t>2025-09</t>
        </is>
      </c>
      <c r="B5" s="5" t="n">
        <v>4999.78</v>
      </c>
      <c r="C5" s="12" t="n">
        <v>76.58</v>
      </c>
      <c r="D5" s="5" t="n">
        <v>2057.26</v>
      </c>
      <c r="E5" s="12" t="n">
        <v>31.51</v>
      </c>
      <c r="F5" s="5" t="n">
        <v>-532.63</v>
      </c>
      <c r="G5" s="12" t="n">
        <v>-8.16</v>
      </c>
      <c r="H5" s="5" t="n">
        <v>2</v>
      </c>
      <c r="I5" s="5" t="n">
        <v>2.5</v>
      </c>
      <c r="J5" s="5" t="n">
        <v>6528.91</v>
      </c>
    </row>
    <row r="6">
      <c r="A6" s="4" t="inlineStr">
        <is>
          <t>2025-10</t>
        </is>
      </c>
      <c r="B6" s="5" t="n">
        <v>665.64</v>
      </c>
      <c r="C6" s="12" t="n">
        <v>57.28</v>
      </c>
      <c r="D6" s="5" t="n">
        <v>295.54</v>
      </c>
      <c r="E6" s="12" t="n">
        <v>25.43</v>
      </c>
      <c r="F6" s="5" t="n">
        <v>196.43</v>
      </c>
      <c r="G6" s="12" t="n">
        <v>16.9</v>
      </c>
      <c r="H6" s="5" t="n">
        <v>2</v>
      </c>
      <c r="I6" s="5" t="n">
        <v>2.5</v>
      </c>
      <c r="J6" s="5" t="n">
        <v>1162.11</v>
      </c>
    </row>
    <row r="7">
      <c r="A7" s="4" t="inlineStr">
        <is>
          <t>2025-11</t>
        </is>
      </c>
      <c r="B7" s="5" t="n">
        <v>3590.66</v>
      </c>
      <c r="C7" s="12" t="n">
        <v>55.38</v>
      </c>
      <c r="D7" s="5" t="n">
        <v>2160.34</v>
      </c>
      <c r="E7" s="12" t="n">
        <v>33.32</v>
      </c>
      <c r="F7" s="5" t="n">
        <v>728</v>
      </c>
      <c r="G7" s="12" t="n">
        <v>11.23</v>
      </c>
      <c r="H7" s="5" t="n">
        <v>2</v>
      </c>
      <c r="I7" s="5" t="n">
        <v>2.5</v>
      </c>
      <c r="J7" s="5" t="n">
        <v>6483.5</v>
      </c>
    </row>
    <row r="8">
      <c r="A8" s="4" t="inlineStr">
        <is>
          <t>2025-12</t>
        </is>
      </c>
      <c r="B8" s="5" t="n">
        <v>2949.99</v>
      </c>
      <c r="C8" s="12" t="n">
        <v>66.33</v>
      </c>
      <c r="D8" s="5" t="n">
        <v>1425.25</v>
      </c>
      <c r="E8" s="12" t="n">
        <v>32.05</v>
      </c>
      <c r="F8" s="5" t="n">
        <v>67.69</v>
      </c>
      <c r="G8" s="12" t="n">
        <v>1.52</v>
      </c>
      <c r="H8" s="5" t="n">
        <v>2</v>
      </c>
      <c r="I8" s="5" t="n">
        <v>2.5</v>
      </c>
      <c r="J8" s="5" t="n">
        <v>4447.43</v>
      </c>
    </row>
    <row r="9">
      <c r="A9" s="4" t="inlineStr">
        <is>
          <t>2026-01</t>
        </is>
      </c>
      <c r="B9" s="5" t="n">
        <v>1656.6</v>
      </c>
      <c r="C9" s="12" t="n">
        <v>61.18</v>
      </c>
      <c r="D9" s="5" t="n">
        <v>834.51</v>
      </c>
      <c r="E9" s="12" t="n">
        <v>30.82</v>
      </c>
      <c r="F9" s="5" t="n">
        <v>212.34</v>
      </c>
      <c r="G9" s="12" t="n">
        <v>7.84</v>
      </c>
      <c r="H9" s="5" t="n">
        <v>2</v>
      </c>
      <c r="I9" s="5" t="n">
        <v>2.5</v>
      </c>
      <c r="J9" s="5" t="n">
        <v>2707.95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2"/>
  <sheetViews>
    <sheetView workbookViewId="0">
      <pane ySplit="5" topLeftCell="A6" activePane="bottomLeft" state="frozen"/>
      <selection pane="bottomLeft" activeCell="A1" sqref="A1"/>
    </sheetView>
  </sheetViews>
  <sheetFormatPr baseColWidth="8" defaultRowHeight="15"/>
  <cols>
    <col width="11" customWidth="1" min="1" max="1"/>
    <col width="16" customWidth="1" min="2" max="2"/>
    <col width="14" customWidth="1" min="3" max="3"/>
    <col width="18" customWidth="1" min="4" max="4"/>
    <col width="18" customWidth="1" min="5" max="5"/>
    <col width="18" customWidth="1" min="6" max="6"/>
    <col width="16" customWidth="1" min="7" max="7"/>
    <col width="18" customWidth="1" min="8" max="8"/>
    <col width="20" customWidth="1" min="9" max="9"/>
    <col width="12" customWidth="1" min="10" max="10"/>
    <col width="13" customWidth="1" min="11" max="11"/>
  </cols>
  <sheetData>
    <row r="1">
      <c r="A1" s="1" t="inlineStr">
        <is>
          <t>Processing Rate to Full Effective Rate Build-up</t>
        </is>
      </c>
    </row>
    <row r="2">
      <c r="A2" s="2" t="inlineStr">
        <is>
          <t>Shows where every basis point of the all-in cost comes from. 1 bps = 0.01% of volume.</t>
        </is>
      </c>
    </row>
    <row r="3">
      <c r="A3" s="2" t="inlineStr">
        <is>
          <t>Full period: bundled processing rate 2.5383% + 0.3 bps uplift = 2.5410% effective</t>
        </is>
      </c>
    </row>
    <row r="5">
      <c r="A5" s="3" t="inlineStr">
        <is>
          <t>Period</t>
        </is>
      </c>
      <c r="B5" s="3" t="inlineStr">
        <is>
          <t>Interchange (bps)</t>
        </is>
      </c>
      <c r="C5" s="3" t="inlineStr">
        <is>
          <t>Scheme (bps)</t>
        </is>
      </c>
      <c r="D5" s="3" t="inlineStr">
        <is>
          <t>Acquirer Markup (bps)</t>
        </is>
      </c>
      <c r="E5" s="3" t="inlineStr">
        <is>
          <t>BUNDLED RATE (bps)</t>
        </is>
      </c>
      <c r="F5" s="3" t="inlineStr">
        <is>
          <t>+ Fixed Acquirer (bps)</t>
        </is>
      </c>
      <c r="G5" s="3" t="inlineStr">
        <is>
          <t>+ Stamp Tax (bps)</t>
        </is>
      </c>
      <c r="H5" s="3" t="inlineStr">
        <is>
          <t>FULL EFFECTIVE (bps)</t>
        </is>
      </c>
      <c r="I5" s="3" t="inlineStr">
        <is>
          <t>Uplift Over Bundled (bps)</t>
        </is>
      </c>
      <c r="J5" s="3" t="inlineStr">
        <is>
          <t>Bundled %</t>
        </is>
      </c>
      <c r="K5" s="3" t="inlineStr">
        <is>
          <t>Effective %</t>
        </is>
      </c>
    </row>
    <row r="6">
      <c r="A6" s="4" t="inlineStr">
        <is>
          <t>2025-09</t>
        </is>
      </c>
      <c r="B6" s="13" t="n">
        <v>197.32</v>
      </c>
      <c r="C6" s="13" t="n">
        <v>81.19</v>
      </c>
      <c r="D6" s="13" t="n">
        <v>-21.02</v>
      </c>
      <c r="E6" s="14" t="n">
        <v>257.5</v>
      </c>
      <c r="F6" s="13" t="n">
        <v>0.1</v>
      </c>
      <c r="G6" s="13" t="n">
        <v>0.08</v>
      </c>
      <c r="H6" s="15" t="n">
        <v>257.67</v>
      </c>
      <c r="I6" s="13" t="n">
        <v>0.18</v>
      </c>
      <c r="J6" s="16" t="n">
        <v>2.575</v>
      </c>
      <c r="K6" s="16" t="n">
        <v>2.5767</v>
      </c>
    </row>
    <row r="7">
      <c r="A7" s="4" t="inlineStr">
        <is>
          <t>2025-10</t>
        </is>
      </c>
      <c r="B7" s="13" t="n">
        <v>146.04</v>
      </c>
      <c r="C7" s="13" t="n">
        <v>64.84</v>
      </c>
      <c r="D7" s="13" t="n">
        <v>43.1</v>
      </c>
      <c r="E7" s="14" t="n">
        <v>253.97</v>
      </c>
      <c r="F7" s="13" t="n">
        <v>0.55</v>
      </c>
      <c r="G7" s="13" t="n">
        <v>0.44</v>
      </c>
      <c r="H7" s="15" t="n">
        <v>254.96</v>
      </c>
      <c r="I7" s="13" t="n">
        <v>0.99</v>
      </c>
      <c r="J7" s="16" t="n">
        <v>2.5397</v>
      </c>
      <c r="K7" s="16" t="n">
        <v>2.5496</v>
      </c>
    </row>
    <row r="8">
      <c r="A8" s="4" t="inlineStr">
        <is>
          <t>2025-11</t>
        </is>
      </c>
      <c r="B8" s="13" t="n">
        <v>142.92</v>
      </c>
      <c r="C8" s="13" t="n">
        <v>85.98999999999999</v>
      </c>
      <c r="D8" s="13" t="n">
        <v>28.98</v>
      </c>
      <c r="E8" s="14" t="n">
        <v>257.89</v>
      </c>
      <c r="F8" s="13" t="n">
        <v>0.1</v>
      </c>
      <c r="G8" s="13" t="n">
        <v>0.08</v>
      </c>
      <c r="H8" s="15" t="n">
        <v>258.07</v>
      </c>
      <c r="I8" s="13" t="n">
        <v>0.18</v>
      </c>
      <c r="J8" s="16" t="n">
        <v>2.5789</v>
      </c>
      <c r="K8" s="16" t="n">
        <v>2.5807</v>
      </c>
    </row>
    <row r="9">
      <c r="A9" s="4" t="inlineStr">
        <is>
          <t>2025-12</t>
        </is>
      </c>
      <c r="B9" s="13" t="n">
        <v>166.29</v>
      </c>
      <c r="C9" s="13" t="n">
        <v>80.34</v>
      </c>
      <c r="D9" s="13" t="n">
        <v>3.82</v>
      </c>
      <c r="E9" s="14" t="n">
        <v>250.45</v>
      </c>
      <c r="F9" s="13" t="n">
        <v>0.14</v>
      </c>
      <c r="G9" s="13" t="n">
        <v>0.11</v>
      </c>
      <c r="H9" s="15" t="n">
        <v>250.7</v>
      </c>
      <c r="I9" s="13" t="n">
        <v>0.25</v>
      </c>
      <c r="J9" s="16" t="n">
        <v>2.5045</v>
      </c>
      <c r="K9" s="16" t="n">
        <v>2.507</v>
      </c>
    </row>
    <row r="10">
      <c r="A10" s="4" t="inlineStr">
        <is>
          <t>2026-01</t>
        </is>
      </c>
      <c r="B10" s="13" t="n">
        <v>148.11</v>
      </c>
      <c r="C10" s="13" t="n">
        <v>74.61</v>
      </c>
      <c r="D10" s="13" t="n">
        <v>18.98</v>
      </c>
      <c r="E10" s="14" t="n">
        <v>241.71</v>
      </c>
      <c r="F10" s="13" t="n">
        <v>0.22</v>
      </c>
      <c r="G10" s="13" t="n">
        <v>0.18</v>
      </c>
      <c r="H10" s="15" t="n">
        <v>242.11</v>
      </c>
      <c r="I10" s="13" t="n">
        <v>0.4</v>
      </c>
      <c r="J10" s="16" t="n">
        <v>2.4171</v>
      </c>
      <c r="K10" s="16" t="n">
        <v>2.4211</v>
      </c>
    </row>
    <row r="11">
      <c r="A11" s="17" t="inlineStr">
        <is>
          <t>PERIOD TOTAL</t>
        </is>
      </c>
      <c r="B11" s="18" t="n">
        <v>165.14</v>
      </c>
      <c r="C11" s="18" t="n">
        <v>80.68000000000001</v>
      </c>
      <c r="D11" s="18" t="n">
        <v>8</v>
      </c>
      <c r="E11" s="19" t="n">
        <v>253.83</v>
      </c>
      <c r="F11" s="18" t="n">
        <v>0.15</v>
      </c>
      <c r="G11" s="18" t="n">
        <v>0.12</v>
      </c>
      <c r="H11" s="20" t="n">
        <v>254.1</v>
      </c>
      <c r="I11" s="18" t="n">
        <v>0.27</v>
      </c>
      <c r="J11" s="21" t="n">
        <v>2.5383</v>
      </c>
      <c r="K11" s="21" t="n">
        <v>2.541</v>
      </c>
    </row>
    <row r="14">
      <c r="A14" s="22" t="inlineStr">
        <is>
          <t>HOW TO READ THIS TABLE</t>
        </is>
      </c>
    </row>
    <row r="15">
      <c r="A15" s="23" t="inlineStr">
        <is>
          <t>1. Interchange (bps): the part of every transaction that goes to the issuing bank. Set by Visa/Mastercard rules; not negotiable.</t>
        </is>
      </c>
    </row>
    <row r="16">
      <c r="A16" s="23" t="inlineStr">
        <is>
          <t>2. Scheme (bps): the part that goes to the card network (Visa, Mastercard) for assessment fees, network fees, cross-border, etc. Not negotiable.</t>
        </is>
      </c>
    </row>
    <row r="17">
      <c r="A17" s="23" t="inlineStr">
        <is>
          <t>3. Acquirer Markup (bps): the part Nexi keeps for itself. THIS IS THE ONLY NEGOTIABLE NUMBER on the bundled side.</t>
        </is>
      </c>
    </row>
    <row r="18">
      <c r="A18" s="23" t="inlineStr">
        <is>
          <t>4. BUNDLED RATE = Interchange + Scheme + Markup. This is the headline 'processing rate' Nexi quotes you.</t>
        </is>
      </c>
    </row>
    <row r="19">
      <c r="A19" s="23" t="inlineStr">
        <is>
          <t>5. + Fixed Acquirer Fee (bps): a flat EUR per month (Commissione di Acquiring in Euro). Becomes a smaller bps number as volume grows.</t>
        </is>
      </c>
    </row>
    <row r="20">
      <c r="A20" s="23" t="inlineStr">
        <is>
          <t>6. + Stamp Tax (bps): the Italian Imposta di Bollo. EUR 2.00 per month flat - tiny but visible on small months.</t>
        </is>
      </c>
    </row>
    <row r="21">
      <c r="A21" s="23" t="inlineStr">
        <is>
          <t>7. FULL EFFECTIVE RATE = Bundled + Fixed Acquirer + Stamp Tax. This is your TRUE all-in cost as a % of volume.</t>
        </is>
      </c>
    </row>
    <row r="22">
      <c r="A22" s="23" t="inlineStr">
        <is>
          <t>8. Uplift (bps): the gap between the bundled rate Nexi quotes and the full effective rate you actually pay. Use this when comparing processors.</t>
        </is>
      </c>
    </row>
  </sheetData>
  <mergeCells count="8">
    <mergeCell ref="A22:K22"/>
    <mergeCell ref="A18:K18"/>
    <mergeCell ref="A20:K20"/>
    <mergeCell ref="A21:K21"/>
    <mergeCell ref="A15:K15"/>
    <mergeCell ref="A16:K16"/>
    <mergeCell ref="A19:K19"/>
    <mergeCell ref="A17:K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42" customWidth="1" min="1" max="1"/>
    <col width="22" customWidth="1" min="2" max="2"/>
    <col width="20" customWidth="1" min="3" max="3"/>
    <col width="24" customWidth="1" min="4" max="4"/>
    <col width="42" customWidth="1" min="5" max="5"/>
  </cols>
  <sheetData>
    <row r="1">
      <c r="A1" s="1" t="inlineStr">
        <is>
          <t>Cross-Border Cost Indicator</t>
        </is>
      </c>
    </row>
    <row r="2">
      <c r="A2" s="2" t="inlineStr">
        <is>
          <t>Where the merchant sits on the issuer interchange spectrum. Higher = more foreign / premium cards.</t>
        </is>
      </c>
    </row>
    <row r="4">
      <c r="A4" s="24" t="inlineStr">
        <is>
          <t>Actual blended IC + Scheme</t>
        </is>
      </c>
      <c r="B4" s="25" t="inlineStr">
        <is>
          <t>245.8 bps</t>
        </is>
      </c>
      <c r="C4" s="26" t="inlineStr">
        <is>
          <t>2.458%</t>
        </is>
      </c>
    </row>
    <row r="5">
      <c r="A5" s="24" t="inlineStr">
        <is>
          <t>Loading over EEA debit baseline</t>
        </is>
      </c>
      <c r="B5" s="25" t="inlineStr">
        <is>
          <t>+215.8 bps</t>
        </is>
      </c>
      <c r="C5" s="26" t="inlineStr">
        <is>
          <t>vs 30 bps reference</t>
        </is>
      </c>
    </row>
    <row r="6">
      <c r="A6" s="24" t="inlineStr">
        <is>
          <t>Loading over EEA credit baseline</t>
        </is>
      </c>
      <c r="B6" s="25" t="inlineStr">
        <is>
          <t>+200.8 bps</t>
        </is>
      </c>
      <c r="C6" s="26" t="inlineStr">
        <is>
          <t>vs 45 bps reference</t>
        </is>
      </c>
    </row>
    <row r="7">
      <c r="A7" s="24" t="inlineStr">
        <is>
          <t>Estimated inter-regional share (vs debit)</t>
        </is>
      </c>
      <c r="B7" s="25" t="inlineStr">
        <is>
          <t>98%</t>
        </is>
      </c>
      <c r="C7" s="26" t="inlineStr">
        <is>
          <t>back-of-envelope</t>
        </is>
      </c>
    </row>
    <row r="8">
      <c r="A8" s="24" t="inlineStr">
        <is>
          <t>Estimated inter-regional share (vs credit)</t>
        </is>
      </c>
      <c r="B8" s="25" t="inlineStr">
        <is>
          <t>98%</t>
        </is>
      </c>
      <c r="C8" s="26" t="inlineStr">
        <is>
          <t>back-of-envelope</t>
        </is>
      </c>
    </row>
    <row r="11">
      <c r="A11" s="27" t="inlineStr">
        <is>
          <t>Reference Rate Card</t>
        </is>
      </c>
    </row>
    <row r="12">
      <c r="A12" s="3" t="inlineStr">
        <is>
          <t>Card Category</t>
        </is>
      </c>
      <c r="B12" s="3" t="inlineStr">
        <is>
          <t>Combined IC + Scheme (bps)</t>
        </is>
      </c>
      <c r="C12" s="3" t="inlineStr">
        <is>
          <t>vs Actual</t>
        </is>
      </c>
      <c r="D12" s="3" t="inlineStr">
        <is>
          <t>What It Means</t>
        </is>
      </c>
    </row>
    <row r="13">
      <c r="A13" s="28" t="inlineStr">
        <is>
          <t>EEA-issued consumer DEBIT (IFR-capped)</t>
        </is>
      </c>
      <c r="B13" s="29" t="n">
        <v>30</v>
      </c>
      <c r="C13" s="30" t="inlineStr">
        <is>
          <t>+215.8 bps</t>
        </is>
      </c>
      <c r="D13" s="31" t="inlineStr">
        <is>
          <t>Italian / European debit cards. Cheapest possible. IFR caps interchange at 20 bps.</t>
        </is>
      </c>
    </row>
    <row r="14">
      <c r="A14" s="28" t="inlineStr">
        <is>
          <t>EEA-issued consumer CREDIT (IFR-capped)</t>
        </is>
      </c>
      <c r="B14" s="29" t="n">
        <v>45</v>
      </c>
      <c r="C14" s="30" t="inlineStr">
        <is>
          <t>+200.8 bps</t>
        </is>
      </c>
      <c r="D14" s="31" t="inlineStr">
        <is>
          <t>Italian / European basic credit cards. IFR caps interchange at 30 bps.</t>
        </is>
      </c>
    </row>
    <row r="15">
      <c r="A15" s="28" t="inlineStr">
        <is>
          <t>EEA premium credit (Visa Infinite, MC World Elite)</t>
        </is>
      </c>
      <c r="B15" s="29" t="n">
        <v>90</v>
      </c>
      <c r="C15" s="30" t="inlineStr">
        <is>
          <t>+155.8 bps</t>
        </is>
      </c>
      <c r="D15" s="31" t="inlineStr">
        <is>
          <t>High-tier consumer credit. Premium tier within IFR limits.</t>
        </is>
      </c>
    </row>
    <row r="16">
      <c r="A16" s="28" t="inlineStr">
        <is>
          <t>Intra-EEA cross-border consumer</t>
        </is>
      </c>
      <c r="B16" s="29" t="n">
        <v>100</v>
      </c>
      <c r="C16" s="30" t="inlineStr">
        <is>
          <t>+145.8 bps</t>
        </is>
      </c>
      <c r="D16" s="31" t="inlineStr">
        <is>
          <t>European cardholder traveling within the EEA.</t>
        </is>
      </c>
    </row>
    <row r="17">
      <c r="A17" s="28" t="inlineStr">
        <is>
          <t>Commercial / corporate cards</t>
        </is>
      </c>
      <c r="B17" s="29" t="n">
        <v>220</v>
      </c>
      <c r="C17" s="30" t="inlineStr">
        <is>
          <t>+25.8 bps</t>
        </is>
      </c>
      <c r="D17" s="31" t="inlineStr">
        <is>
          <t>Business, purchasing, fleet cards. UNCAPPED under IFR.</t>
        </is>
      </c>
    </row>
    <row r="18">
      <c r="A18" s="28" t="inlineStr">
        <is>
          <t>Inter-regional consumer credit (CNP)</t>
        </is>
      </c>
      <c r="B18" s="29" t="n">
        <v>250</v>
      </c>
      <c r="C18" s="32" t="inlineStr">
        <is>
          <t>~ matches actual</t>
        </is>
      </c>
      <c r="D18" s="31" t="inlineStr">
        <is>
          <t>Non-EEA cards (US, post-Brexit UK, Switzerland, Asia, ME). The 'tourist tax.'</t>
        </is>
      </c>
    </row>
    <row r="19">
      <c r="A19" s="28" t="inlineStr">
        <is>
          <t>AMEX (typical bundled MSC)</t>
        </is>
      </c>
      <c r="B19" s="29" t="n">
        <v>260</v>
      </c>
      <c r="C19" s="32" t="inlineStr">
        <is>
          <t>~ matches actual</t>
        </is>
      </c>
      <c r="D19" s="31" t="inlineStr">
        <is>
          <t>American Express has its own pricing.</t>
        </is>
      </c>
    </row>
    <row r="22">
      <c r="A22" s="27" t="inlineStr">
        <is>
          <t>FACTUAL SUMMARY</t>
        </is>
      </c>
    </row>
    <row r="23" ht="60" customHeight="1">
      <c r="A23" s="33" t="inlineStr">
        <is>
          <t>Combined interchange + scheme rate of 245.8 bps is 8.2x the IFR-capped EEA consumer debit baseline (30 bps) and 5.5x the EEA consumer credit baseline (45 bps). Nexi acquirer markup component: 8.0 bps (~€1,612 annualized). All transactions in the daily detail are bucketed as international card networks; no per-brand, per-BIN, or per-issuer detail is available from the monthly PDF.</t>
        </is>
      </c>
    </row>
  </sheetData>
  <mergeCells count="1">
    <mergeCell ref="A23:D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42" customWidth="1" min="1" max="1"/>
    <col width="20" customWidth="1" min="2" max="2"/>
    <col width="14" customWidth="1" min="3" max="3"/>
    <col width="14" customWidth="1" min="4" max="4"/>
    <col width="18" customWidth="1" min="5" max="5"/>
    <col width="55" customWidth="1" min="6" max="6"/>
  </cols>
  <sheetData>
    <row r="1">
      <c r="A1" s="1" t="inlineStr">
        <is>
          <t>Where The Full Effective Rate Actually Goes</t>
        </is>
      </c>
    </row>
    <row r="2">
      <c r="A2" s="2" t="inlineStr">
        <is>
          <t>Every bps of the 254 bps effective rate split into cross-border/FX-driven cost vs domestic baseline.</t>
        </is>
      </c>
    </row>
    <row r="4">
      <c r="A4" s="34" t="inlineStr">
        <is>
          <t>Full Effective Rate (total)</t>
        </is>
      </c>
      <c r="B4" s="35" t="inlineStr">
        <is>
          <t>254.1 bps</t>
        </is>
      </c>
      <c r="C4" s="26" t="inlineStr">
        <is>
          <t>2.541% of volume</t>
        </is>
      </c>
    </row>
    <row r="5">
      <c r="A5" s="34" t="inlineStr">
        <is>
          <t>Cross-border / FX-driven</t>
        </is>
      </c>
      <c r="B5" s="36" t="inlineStr">
        <is>
          <t>213.8 bps</t>
        </is>
      </c>
      <c r="C5" s="26" t="inlineStr">
        <is>
          <t>84.2% of effective rate</t>
        </is>
      </c>
    </row>
    <row r="6">
      <c r="A6" s="34" t="inlineStr">
        <is>
          <t>Domestic baseline</t>
        </is>
      </c>
      <c r="B6" s="37" t="inlineStr">
        <is>
          <t>40.3 bps</t>
        </is>
      </c>
      <c r="C6" s="26" t="inlineStr">
        <is>
          <t>15.8% of effective rate</t>
        </is>
      </c>
    </row>
    <row r="9">
      <c r="A9" s="27" t="inlineStr">
        <is>
          <t>Full Component Breakdown</t>
        </is>
      </c>
    </row>
    <row r="10">
      <c r="A10" s="3" t="inlineStr">
        <is>
          <t>Component</t>
        </is>
      </c>
      <c r="B10" s="3" t="inlineStr">
        <is>
          <t>Bucket</t>
        </is>
      </c>
      <c r="C10" s="3" t="inlineStr">
        <is>
          <t>bps</t>
        </is>
      </c>
      <c r="D10" s="3" t="inlineStr">
        <is>
          <t>% of Volume</t>
        </is>
      </c>
      <c r="E10" s="3" t="inlineStr">
        <is>
          <t>% of Effective Rate</t>
        </is>
      </c>
      <c r="F10" s="3" t="inlineStr">
        <is>
          <t>What This Is</t>
        </is>
      </c>
    </row>
    <row r="11" ht="35" customHeight="1">
      <c r="A11" s="38" t="inlineStr">
        <is>
          <t>Layer 2: Cross-border interchange tier uplift</t>
        </is>
      </c>
      <c r="B11" s="39" t="inlineStr">
        <is>
          <t>FX / Cross-Border</t>
        </is>
      </c>
      <c r="C11" s="40" t="n">
        <v>140.1</v>
      </c>
      <c r="D11" s="41" t="n">
        <v>1.4014</v>
      </c>
      <c r="E11" s="42" t="n">
        <v>55.2</v>
      </c>
      <c r="F11" s="43" t="inlineStr">
        <is>
          <t>Inter-regional and premium consumer credit cards pay higher IC than the IFR-capped EEA baseline. This is interchange above the 25 bps domestic floor.</t>
        </is>
      </c>
    </row>
    <row r="12" ht="42" customHeight="1">
      <c r="A12" s="38" t="inlineStr">
        <is>
          <t>Layer 1: Scheme cross-border fees</t>
        </is>
      </c>
      <c r="B12" s="39" t="inlineStr">
        <is>
          <t>FX / Cross-Border</t>
        </is>
      </c>
      <c r="C12" s="40" t="n">
        <v>73.7</v>
      </c>
      <c r="D12" s="41" t="n">
        <v>0.7368</v>
      </c>
      <c r="E12" s="42" t="n">
        <v>29</v>
      </c>
      <c r="F12" s="43" t="inlineStr">
        <is>
          <t>Visa International Service Assessment (ISA) + Mastercard Cross-Border Assessment Fee (CBAF). Applies when issuer and acquirer are in different countries.</t>
        </is>
      </c>
    </row>
    <row r="13" ht="35" customHeight="1">
      <c r="A13" s="38" t="inlineStr">
        <is>
          <t>Domestic interchange baseline</t>
        </is>
      </c>
      <c r="B13" s="44" t="inlineStr">
        <is>
          <t>Domestic Baseline</t>
        </is>
      </c>
      <c r="C13" s="40" t="n">
        <v>25</v>
      </c>
      <c r="D13" s="41" t="n">
        <v>0.25</v>
      </c>
      <c r="E13" s="42" t="n">
        <v>9.800000000000001</v>
      </c>
      <c r="F13" s="43" t="inlineStr">
        <is>
          <t>The IFR-capped portion of interchange that would apply to a 100% Italian / EEA consumer card mix. Set by Visa / Mastercard rules, not negotiable.</t>
        </is>
      </c>
    </row>
    <row r="14" ht="42" customHeight="1">
      <c r="A14" s="38" t="inlineStr">
        <is>
          <t>Nexi acquirer markup</t>
        </is>
      </c>
      <c r="B14" s="44" t="inlineStr">
        <is>
          <t>Domestic Baseline</t>
        </is>
      </c>
      <c r="C14" s="40" t="n">
        <v>8</v>
      </c>
      <c r="D14" s="41" t="n">
        <v>0.08</v>
      </c>
      <c r="E14" s="42" t="n">
        <v>3.1</v>
      </c>
      <c r="F14" s="43" t="inlineStr">
        <is>
          <t>What Nexi actually keeps after passing through interchange and scheme fees. This is the only component of the rate that is negotiable with the acquirer.</t>
        </is>
      </c>
    </row>
    <row r="15" ht="35" customHeight="1">
      <c r="A15" s="38" t="inlineStr">
        <is>
          <t>Domestic scheme fees baseline</t>
        </is>
      </c>
      <c r="B15" s="44" t="inlineStr">
        <is>
          <t>Domestic Baseline</t>
        </is>
      </c>
      <c r="C15" s="40" t="n">
        <v>7</v>
      </c>
      <c r="D15" s="41" t="n">
        <v>0.07000000000000001</v>
      </c>
      <c r="E15" s="42" t="n">
        <v>2.8</v>
      </c>
      <c r="F15" s="43" t="inlineStr">
        <is>
          <t>The portion of scheme fees (Oneri Circuiti) that would apply to a 100% domestic Italian mix. Visa/MC fixed assessment fees, network access, etc.</t>
        </is>
      </c>
    </row>
    <row r="16" ht="42" customHeight="1">
      <c r="A16" s="38" t="inlineStr">
        <is>
          <t>Fixed monthly fees (Acquiring EUR + Stamp Tax)</t>
        </is>
      </c>
      <c r="B16" s="44" t="inlineStr">
        <is>
          <t>Domestic Baseline</t>
        </is>
      </c>
      <c r="C16" s="40" t="n">
        <v>0.27</v>
      </c>
      <c r="D16" s="41" t="n">
        <v>0.00268</v>
      </c>
      <c r="E16" s="42" t="n">
        <v>0.11</v>
      </c>
      <c r="F16" s="43" t="inlineStr">
        <is>
          <t>EUR 2.50 Commissione di Acquiring in Euro + EUR 2.00 Imposta di Bollo per contract per month. Flat amounts, become a larger bps share on low-volume months.</t>
        </is>
      </c>
    </row>
    <row r="17">
      <c r="A17" s="45" t="inlineStr">
        <is>
          <t>TOTAL (Full Effective Rate)</t>
        </is>
      </c>
      <c r="B17" s="46" t="n"/>
      <c r="C17" s="47" t="n">
        <v>254.1</v>
      </c>
      <c r="D17" s="48" t="n">
        <v>2.541</v>
      </c>
      <c r="E17" s="49" t="n">
        <v>100</v>
      </c>
      <c r="F17" s="46" t="n"/>
    </row>
    <row r="20">
      <c r="A20" s="22" t="inlineStr">
        <is>
          <t>FACTUAL SUMMARY</t>
        </is>
      </c>
    </row>
    <row r="21" ht="70" customHeight="1">
      <c r="A21" s="33" t="inlineStr">
        <is>
          <t>Of the 254.1 bps (2.541%) full effective rate, 213.8 bps (84.2%) is cross-border / FX-driven and 40.3 bps (15.8%) is the domestic baseline (everything that would apply to a pure Italian-issued card mix). If this merchant were processing only domestic cards the full effective rate would be around 0.40% instead of 2.54%.</t>
        </is>
      </c>
    </row>
  </sheetData>
  <mergeCells count="1">
    <mergeCell ref="A21:F2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14"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Per-Transaction FX Cost</t>
        </is>
      </c>
    </row>
    <row r="2">
      <c r="A2" s="2" t="inlineStr">
        <is>
          <t>Cross-border / FX-driven cost on every sale. Constant percentage, variable absolute EUR.</t>
        </is>
      </c>
    </row>
    <row r="4">
      <c r="A4" s="24" t="inlineStr">
        <is>
          <t>FX cost per ticket (rate)</t>
        </is>
      </c>
      <c r="B4" s="25" t="inlineStr">
        <is>
          <t>2.14%</t>
        </is>
      </c>
      <c r="C4" s="26">
        <f> 214 bps applied to every ticket</f>
        <v/>
      </c>
    </row>
    <row r="5">
      <c r="A5" s="24" t="inlineStr">
        <is>
          <t>Layer 1 (Scheme cross-border, ISA + CBAF)</t>
        </is>
      </c>
      <c r="B5" s="25" t="inlineStr">
        <is>
          <t>74 bps</t>
        </is>
      </c>
      <c r="C5" s="26" t="inlineStr">
        <is>
          <t>~EUR 58.35 on the avg ticket</t>
        </is>
      </c>
    </row>
    <row r="6">
      <c r="A6" s="24" t="inlineStr">
        <is>
          <t>Layer 2 (Cross-border IC tier uplift)</t>
        </is>
      </c>
      <c r="B6" s="25" t="inlineStr">
        <is>
          <t>140 bps</t>
        </is>
      </c>
      <c r="C6" s="26" t="inlineStr">
        <is>
          <t>~EUR 110.98 on the avg ticket</t>
        </is>
      </c>
    </row>
    <row r="7">
      <c r="A7" s="24" t="inlineStr">
        <is>
          <t>Average ticket size</t>
        </is>
      </c>
      <c r="B7" s="25" t="inlineStr">
        <is>
          <t>EUR 7,919.18</t>
        </is>
      </c>
      <c r="C7" s="26" t="inlineStr">
        <is>
          <t>106 transactions in the period</t>
        </is>
      </c>
    </row>
    <row r="8">
      <c r="A8" s="24" t="inlineStr">
        <is>
          <t>Average per-transaction FX cost</t>
        </is>
      </c>
      <c r="B8" s="25" t="inlineStr">
        <is>
          <t>EUR 169.33</t>
        </is>
      </c>
      <c r="C8" s="26" t="inlineStr">
        <is>
          <t>applied to the period average ticket</t>
        </is>
      </c>
    </row>
    <row r="9">
      <c r="A9" s="24" t="inlineStr">
        <is>
          <t>Period total FX cost</t>
        </is>
      </c>
      <c r="B9" s="25" t="inlineStr">
        <is>
          <t>EUR 17,949.38</t>
        </is>
      </c>
      <c r="C9" s="26" t="inlineStr">
        <is>
          <t>~EUR 43,079 annualized</t>
        </is>
      </c>
    </row>
    <row r="12">
      <c r="A12" s="27" t="inlineStr">
        <is>
          <t>Per-Month Per-Transaction Breakdown</t>
        </is>
      </c>
    </row>
    <row r="13">
      <c r="A13" s="3" t="inlineStr">
        <is>
          <t>Period</t>
        </is>
      </c>
      <c r="B13" s="3" t="inlineStr">
        <is>
          <t>Txns</t>
        </is>
      </c>
      <c r="C13" s="3" t="inlineStr">
        <is>
          <t>Avg Ticket (EUR)</t>
        </is>
      </c>
      <c r="D13" s="3" t="inlineStr">
        <is>
          <t>Layer 1 / txn</t>
        </is>
      </c>
      <c r="E13" s="3" t="inlineStr">
        <is>
          <t>Layer 2 / txn</t>
        </is>
      </c>
      <c r="F13" s="3" t="inlineStr">
        <is>
          <t>Total FX / txn</t>
        </is>
      </c>
      <c r="G13" s="3" t="inlineStr">
        <is>
          <t>Month FX Total</t>
        </is>
      </c>
    </row>
    <row r="14">
      <c r="A14" s="4" t="inlineStr">
        <is>
          <t>2025-09</t>
        </is>
      </c>
      <c r="B14" s="6" t="n">
        <v>32</v>
      </c>
      <c r="C14" s="5" t="n">
        <v>7918.11</v>
      </c>
      <c r="D14" s="5" t="n">
        <v>58.34</v>
      </c>
      <c r="E14" s="5" t="n">
        <v>110.97</v>
      </c>
      <c r="F14" s="50" t="n">
        <v>169.31</v>
      </c>
      <c r="G14" s="5" t="n">
        <v>5417.95</v>
      </c>
    </row>
    <row r="15">
      <c r="A15" s="4" t="inlineStr">
        <is>
          <t>2025-10</t>
        </is>
      </c>
      <c r="B15" s="6" t="n">
        <v>22</v>
      </c>
      <c r="C15" s="5" t="n">
        <v>2071.82</v>
      </c>
      <c r="D15" s="5" t="n">
        <v>15.27</v>
      </c>
      <c r="E15" s="5" t="n">
        <v>29.04</v>
      </c>
      <c r="F15" s="50" t="n">
        <v>44.3</v>
      </c>
      <c r="G15" s="5" t="n">
        <v>974.63</v>
      </c>
    </row>
    <row r="16">
      <c r="A16" s="4" t="inlineStr">
        <is>
          <t>2025-11</t>
        </is>
      </c>
      <c r="B16" s="6" t="n">
        <v>13</v>
      </c>
      <c r="C16" s="5" t="n">
        <v>19325.27</v>
      </c>
      <c r="D16" s="5" t="n">
        <v>142.4</v>
      </c>
      <c r="E16" s="5" t="n">
        <v>270.83</v>
      </c>
      <c r="F16" s="50" t="n">
        <v>413.23</v>
      </c>
      <c r="G16" s="5" t="n">
        <v>5371.96</v>
      </c>
    </row>
    <row r="17">
      <c r="A17" s="4" t="inlineStr">
        <is>
          <t>2025-12</t>
        </is>
      </c>
      <c r="B17" s="6" t="n">
        <v>18</v>
      </c>
      <c r="C17" s="5" t="n">
        <v>9855.389999999999</v>
      </c>
      <c r="D17" s="5" t="n">
        <v>72.62</v>
      </c>
      <c r="E17" s="5" t="n">
        <v>138.12</v>
      </c>
      <c r="F17" s="50" t="n">
        <v>210.74</v>
      </c>
      <c r="G17" s="5" t="n">
        <v>3793.24</v>
      </c>
    </row>
    <row r="18">
      <c r="A18" s="4" t="inlineStr">
        <is>
          <t>2026-01</t>
        </is>
      </c>
      <c r="B18" s="6" t="n">
        <v>21</v>
      </c>
      <c r="C18" s="5" t="n">
        <v>5326.1</v>
      </c>
      <c r="D18" s="5" t="n">
        <v>39.24</v>
      </c>
      <c r="E18" s="5" t="n">
        <v>74.64</v>
      </c>
      <c r="F18" s="50" t="n">
        <v>113.89</v>
      </c>
      <c r="G18" s="5" t="n">
        <v>2391.62</v>
      </c>
    </row>
    <row r="21">
      <c r="A21" s="27" t="inlineStr">
        <is>
          <t>Top 10 Largest Single Transactions - FX Cost on Each</t>
        </is>
      </c>
    </row>
    <row r="22">
      <c r="A22" s="3" t="inlineStr">
        <is>
          <t>Date</t>
        </is>
      </c>
      <c r="B22" s="3" t="inlineStr">
        <is>
          <t>Month</t>
        </is>
      </c>
      <c r="C22" s="3" t="inlineStr">
        <is>
          <t>Txn Count</t>
        </is>
      </c>
      <c r="D22" s="3" t="inlineStr">
        <is>
          <t>Gross (EUR)</t>
        </is>
      </c>
      <c r="E22" s="3" t="inlineStr">
        <is>
          <t>Total Fees Billed</t>
        </is>
      </c>
      <c r="F22" s="3" t="inlineStr">
        <is>
          <t>FX Portion (est.)</t>
        </is>
      </c>
      <c r="G22" s="3" t="inlineStr">
        <is>
          <t>FX %</t>
        </is>
      </c>
    </row>
    <row r="23">
      <c r="A23" s="4" t="inlineStr">
        <is>
          <t>19/09/25</t>
        </is>
      </c>
      <c r="B23" s="4" t="inlineStr">
        <is>
          <t>September 2025</t>
        </is>
      </c>
      <c r="C23" s="51" t="n">
        <v>4</v>
      </c>
      <c r="D23" s="5" t="n">
        <v>122202</v>
      </c>
      <c r="E23" s="5" t="n">
        <v>3177.25</v>
      </c>
      <c r="F23" s="52" t="n">
        <v>2613.01</v>
      </c>
      <c r="G23" s="12" t="n">
        <v>2.138</v>
      </c>
    </row>
    <row r="24">
      <c r="A24" s="4" t="inlineStr">
        <is>
          <t>07/09/25</t>
        </is>
      </c>
      <c r="B24" s="4" t="inlineStr">
        <is>
          <t>September 2025</t>
        </is>
      </c>
      <c r="C24" s="51" t="n">
        <v>6</v>
      </c>
      <c r="D24" s="5" t="n">
        <v>121825</v>
      </c>
      <c r="E24" s="5" t="n">
        <v>3211.39</v>
      </c>
      <c r="F24" s="52" t="n">
        <v>2604.95</v>
      </c>
      <c r="G24" s="12" t="n">
        <v>2.138</v>
      </c>
    </row>
    <row r="25">
      <c r="A25" s="4" t="inlineStr">
        <is>
          <t>09/12/25</t>
        </is>
      </c>
      <c r="B25" s="4" t="inlineStr">
        <is>
          <t>December 2025</t>
        </is>
      </c>
      <c r="C25" s="51" t="n">
        <v>1</v>
      </c>
      <c r="D25" s="5" t="n">
        <v>107500</v>
      </c>
      <c r="E25" s="5" t="n">
        <v>2795</v>
      </c>
      <c r="F25" s="52" t="n">
        <v>2298.65</v>
      </c>
      <c r="G25" s="12" t="n">
        <v>2.138</v>
      </c>
    </row>
    <row r="26">
      <c r="A26" s="4" t="inlineStr">
        <is>
          <t>19/11/25</t>
        </is>
      </c>
      <c r="B26" s="4" t="inlineStr">
        <is>
          <t>November 2025</t>
        </is>
      </c>
      <c r="C26" s="51" t="n">
        <v>1</v>
      </c>
      <c r="D26" s="5" t="n">
        <v>53369.5</v>
      </c>
      <c r="E26" s="5" t="n">
        <v>1387.61</v>
      </c>
      <c r="F26" s="52" t="n">
        <v>1141.19</v>
      </c>
      <c r="G26" s="12" t="n">
        <v>2.138</v>
      </c>
    </row>
    <row r="27">
      <c r="A27" s="4" t="inlineStr">
        <is>
          <t>15/01/26</t>
        </is>
      </c>
      <c r="B27" s="4" t="inlineStr">
        <is>
          <t>January 2026</t>
        </is>
      </c>
      <c r="C27" s="51" t="n">
        <v>2</v>
      </c>
      <c r="D27" s="5" t="n">
        <v>46848</v>
      </c>
      <c r="E27" s="5" t="n">
        <v>1218.05</v>
      </c>
      <c r="F27" s="52" t="n">
        <v>1001.74</v>
      </c>
      <c r="G27" s="12" t="n">
        <v>2.138</v>
      </c>
    </row>
    <row r="28">
      <c r="A28" s="4" t="inlineStr">
        <is>
          <t>20/11/25</t>
        </is>
      </c>
      <c r="B28" s="4" t="inlineStr">
        <is>
          <t>November 2025</t>
        </is>
      </c>
      <c r="C28" s="51" t="n">
        <v>1</v>
      </c>
      <c r="D28" s="5" t="n">
        <v>44607</v>
      </c>
      <c r="E28" s="5" t="n">
        <v>1159.78</v>
      </c>
      <c r="F28" s="52" t="n">
        <v>953.8200000000001</v>
      </c>
      <c r="G28" s="12" t="n">
        <v>2.138</v>
      </c>
    </row>
    <row r="29">
      <c r="A29" s="4" t="inlineStr">
        <is>
          <t>26/11/25</t>
        </is>
      </c>
      <c r="B29" s="4" t="inlineStr">
        <is>
          <t>November 2025</t>
        </is>
      </c>
      <c r="C29" s="51" t="n">
        <v>1</v>
      </c>
      <c r="D29" s="5" t="n">
        <v>37900</v>
      </c>
      <c r="E29" s="5" t="n">
        <v>1019.51</v>
      </c>
      <c r="F29" s="52" t="n">
        <v>810.41</v>
      </c>
      <c r="G29" s="12" t="n">
        <v>2.138</v>
      </c>
    </row>
    <row r="30">
      <c r="A30" s="4" t="inlineStr">
        <is>
          <t>06/09/25</t>
        </is>
      </c>
      <c r="B30" s="4" t="inlineStr">
        <is>
          <t>September 2025</t>
        </is>
      </c>
      <c r="C30" s="51" t="n">
        <v>3</v>
      </c>
      <c r="D30" s="5" t="n">
        <v>33865</v>
      </c>
      <c r="E30" s="5" t="n">
        <v>910.97</v>
      </c>
      <c r="F30" s="52" t="n">
        <v>724.13</v>
      </c>
      <c r="G30" s="12" t="n">
        <v>2.138</v>
      </c>
    </row>
    <row r="31">
      <c r="A31" s="4" t="inlineStr">
        <is>
          <t>11/11/25</t>
        </is>
      </c>
      <c r="B31" s="4" t="inlineStr">
        <is>
          <t>November 2025</t>
        </is>
      </c>
      <c r="C31" s="51" t="n">
        <v>2</v>
      </c>
      <c r="D31" s="5" t="n">
        <v>33072</v>
      </c>
      <c r="E31" s="5" t="n">
        <v>859.87</v>
      </c>
      <c r="F31" s="52" t="n">
        <v>707.17</v>
      </c>
      <c r="G31" s="12" t="n">
        <v>2.138</v>
      </c>
    </row>
    <row r="32">
      <c r="A32" s="4" t="inlineStr">
        <is>
          <t>12/01/26</t>
        </is>
      </c>
      <c r="B32" s="4" t="inlineStr">
        <is>
          <t>January 2026</t>
        </is>
      </c>
      <c r="C32" s="51" t="n">
        <v>1</v>
      </c>
      <c r="D32" s="5" t="n">
        <v>31300</v>
      </c>
      <c r="E32" s="5" t="n">
        <v>841.97</v>
      </c>
      <c r="F32" s="52" t="n">
        <v>669.28</v>
      </c>
      <c r="G32" s="12" t="n">
        <v>2.138</v>
      </c>
    </row>
    <row r="35">
      <c r="A35" s="22" t="inlineStr">
        <is>
          <t>METHOD NOTE</t>
        </is>
      </c>
    </row>
    <row r="36" ht="70" customHeight="1">
      <c r="A36" s="53" t="inlineStr">
        <is>
          <t>Per-transaction FX cost is the cross-border / FX-driven portion of total fees, expressed as a flat percentage of every ticket. The percentage is constant; absolute EUR per transaction varies only because ticket sizes vary. Layer 1 = scheme cross-border assessment (Visa ISA + MC CBAF), derived as observed scheme fees minus a 7 bps domestic baseline. Layer 2 = cross-border interchange tier uplift, derived as observed interchange minus a 25 bps IFR-capped EEA baseline. Both layers are blended estimates - the PDF does not expose the actual brand or issuer-country split.</t>
        </is>
      </c>
    </row>
  </sheetData>
  <mergeCells count="1">
    <mergeCell ref="A36:G3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7"/>
  <sheetViews>
    <sheetView workbookViewId="0">
      <pane ySplit="4" topLeftCell="A5" activePane="bottomLeft" state="frozen"/>
      <selection pane="bottomLeft" activeCell="A1" sqref="A1"/>
    </sheetView>
  </sheetViews>
  <sheetFormatPr baseColWidth="8" defaultRowHeight="15"/>
  <cols>
    <col width="12" customWidth="1" min="1" max="1"/>
    <col width="22" customWidth="1" min="2" max="2"/>
    <col width="42" customWidth="1" min="3" max="3"/>
    <col width="80" customWidth="1" min="4" max="4"/>
  </cols>
  <sheetData>
    <row r="1">
      <c r="A1" s="1" t="inlineStr">
        <is>
          <t>Notable Observations</t>
        </is>
      </c>
    </row>
    <row r="2">
      <c r="A2" s="2" t="inlineStr">
        <is>
          <t>Things that stand out in the data - missing fields, reporting opacity, anomalies, unusual patterns. Each entry is a factual observation, not a recommendation.</t>
        </is>
      </c>
    </row>
    <row r="4">
      <c r="A4" s="3" t="inlineStr">
        <is>
          <t>Severity</t>
        </is>
      </c>
      <c r="B4" s="3" t="inlineStr">
        <is>
          <t>Category</t>
        </is>
      </c>
      <c r="C4" s="3" t="inlineStr">
        <is>
          <t>Title</t>
        </is>
      </c>
      <c r="D4" s="3" t="inlineStr">
        <is>
          <t>Detail</t>
        </is>
      </c>
    </row>
    <row r="5" ht="98" customHeight="1">
      <c r="A5" s="54" t="inlineStr">
        <is>
          <t>HIGH</t>
        </is>
      </c>
      <c r="B5" s="55" t="inlineStr">
        <is>
          <t>Cost anomaly</t>
        </is>
      </c>
      <c r="C5" s="56" t="inlineStr">
        <is>
          <t>Combined IC + scheme rate is 8.2x the IFR-capped EEA debit baseline</t>
        </is>
      </c>
      <c r="D5" s="57" t="inlineStr">
        <is>
          <t>The EU Interchange Fee Regulation caps domestic and intra-EEA consumer card interchange at 0.20% (debit) and 0.30% (credit). Combined with typical scheme fees this puts the cheapest-possible blended pass-through cost at roughly 30-45 bps. This merchant is paying 245.8 bps - 216 bps above the EEA debit baseline. The gap can only come from non-EEA-issued cards, premium consumer card tiers within IFR limits, commercial / corporate cards (uncapped under IFR), or AMEX volume bundled in. The PDF does not let us identify which of these is driving the cost.</t>
        </is>
      </c>
    </row>
    <row r="6" ht="98" customHeight="1">
      <c r="A6" s="54" t="inlineStr">
        <is>
          <t>HIGH</t>
        </is>
      </c>
      <c r="B6" s="55" t="inlineStr">
        <is>
          <t>Data anomaly</t>
        </is>
      </c>
      <c r="C6" s="56" t="inlineStr">
        <is>
          <t>Negative implied acquirer markup in 1 month(s)</t>
        </is>
      </c>
      <c r="D6" s="57" t="inlineStr">
        <is>
          <t>Month(s) showing negative markup: September 2025. In normal months the formula 'Total Commissioni minus Interchange minus Scheme' yields a positive acquirer markup. When a month has substantial refund processing, Nexi credits the gross fees back, which reduces 'Total Commissioni' below the GROSS interchange and scheme totals shown in the per-offering breakdown. The negative number is therefore an artifact of how Nexi nets refund fee credits in the totals - it does NOT mean Nexi paid the merchant. The most extreme case here is September 2025 (-532.63 EUR).</t>
        </is>
      </c>
    </row>
    <row r="7" ht="56" customHeight="1">
      <c r="A7" s="54" t="inlineStr">
        <is>
          <t>HIGH</t>
        </is>
      </c>
      <c r="B7" s="55" t="inlineStr">
        <is>
          <t>Refund activity</t>
        </is>
      </c>
      <c r="C7" s="56" t="inlineStr">
        <is>
          <t>Refunds exceeded 5% of volume in 2 month(s)</t>
        </is>
      </c>
      <c r="D7" s="57" t="inlineStr">
        <is>
          <t>2 month(s) had merchant-initiated refunds greater than 5% of gross volume. Highest: September 2025 with EUR 89,845.50 of refunds against EUR 253,379.50 of volume (35.5%). The Nexi PDF does not differentiate between voluntary refunds, partial reversals, and processor-initiated reversals - all show as negative entries in the daily detail.</t>
        </is>
      </c>
    </row>
    <row r="8" ht="70" customHeight="1">
      <c r="A8" s="54" t="inlineStr">
        <is>
          <t>HIGH</t>
        </is>
      </c>
      <c r="B8" s="55" t="inlineStr">
        <is>
          <t>Reporting transparency</t>
        </is>
      </c>
      <c r="C8" s="56" t="inlineStr">
        <is>
          <t>No interchange tier breakdown</t>
        </is>
      </c>
      <c r="D8" s="57" t="inlineStr">
        <is>
          <t>The monthly PDF reports total interchange as a single number per contract. It does NOT disclose which interchange tiers were hit (e.g. consumer debit, consumer credit, premium credit, commercial, inter-regional). Visa and Mastercard publish dozens of tier categories with materially different rates - the merchant has zero visibility into which ones drove the bill.</t>
        </is>
      </c>
    </row>
    <row r="9" ht="56" customHeight="1">
      <c r="A9" s="54" t="inlineStr">
        <is>
          <t>HIGH</t>
        </is>
      </c>
      <c r="B9" s="55" t="inlineStr">
        <is>
          <t>Reporting transparency</t>
        </is>
      </c>
      <c r="C9" s="56" t="inlineStr">
        <is>
          <t>No card brand split (Visa / Mastercard / AMEX / etc.)</t>
        </is>
      </c>
      <c r="D9" s="57" t="inlineStr">
        <is>
          <t>All transactions are bucketed under the single label 'CIRCUITI INTERNAZIONALI' (international card networks). The PDF gives no Visa-vs-Mastercard-vs-AMEX share, no per-brand volume, and no per-brand fee allocation. Per the footer of every page, this detail is only available in the Nexi Business portal at business.nexi.it.</t>
        </is>
      </c>
    </row>
    <row r="10" ht="56" customHeight="1">
      <c r="A10" s="54" t="inlineStr">
        <is>
          <t>HIGH</t>
        </is>
      </c>
      <c r="B10" s="55" t="inlineStr">
        <is>
          <t>Reporting transparency</t>
        </is>
      </c>
      <c r="C10" s="56" t="inlineStr">
        <is>
          <t>No issuer country / cardholder geography</t>
        </is>
      </c>
      <c r="D10" s="57" t="inlineStr">
        <is>
          <t>There is no breakdown of which countries the cardholders' issuing banks are in. For a merchant whose blended IC + scheme is 245.8 bps (5x the EEA credit baseline), this is the single most important missing piece of information for understanding where the cost is coming from.</t>
        </is>
      </c>
    </row>
    <row r="11" ht="56" customHeight="1">
      <c r="A11" s="58" t="inlineStr">
        <is>
          <t>MEDIUM</t>
        </is>
      </c>
      <c r="B11" s="55" t="inlineStr">
        <is>
          <t>Card mix</t>
        </is>
      </c>
      <c r="C11" s="56" t="inlineStr">
        <is>
          <t>Zero Bancomat (Italian domestic debit) volume</t>
        </is>
      </c>
      <c r="D11" s="57" t="inlineStr">
        <is>
          <t>Across 5 month(s) and EUR 839,433.04 of total volume, the merchant processed zero Bancomat transactions. Either Bancomat acceptance is not enabled on the terminal, the customer base does not present Bancomat cards, or both. For a merchant in Italy this is unusual - the Bancomat network has near-universal Italian debit-card coverage.</t>
        </is>
      </c>
    </row>
    <row r="12" ht="84" customHeight="1">
      <c r="A12" s="58" t="inlineStr">
        <is>
          <t>MEDIUM</t>
        </is>
      </c>
      <c r="B12" s="55" t="inlineStr">
        <is>
          <t>Pricing model</t>
        </is>
      </c>
      <c r="C12" s="56" t="inlineStr">
        <is>
          <t>Bundled (not interchange-plus) pricing</t>
        </is>
      </c>
      <c r="D12" s="57" t="inlineStr">
        <is>
          <t>The 'Commissioni Acquiring %' equals 'Totale Commissioni' - meaning the merchant is on a bundled rate (one combined rate that hides interchange, scheme, and acquirer markup as a single line). The per-offering breakdown does show interchange and scheme as informational pass-through, but the merchant's CONTRACTED rate appears to be a single bundled number. This is standard for Italian SMB acquiring but obscures the acquirer markup component from the merchant's normal view.</t>
        </is>
      </c>
    </row>
    <row r="13" ht="56" customHeight="1">
      <c r="A13" s="58" t="inlineStr">
        <is>
          <t>MEDIUM</t>
        </is>
      </c>
      <c r="B13" s="55" t="inlineStr">
        <is>
          <t>Rate variance</t>
        </is>
      </c>
      <c r="C13" s="56" t="inlineStr">
        <is>
          <t>Effective rate varies by 16 bps month-to-month</t>
        </is>
      </c>
      <c r="D13" s="57" t="inlineStr">
        <is>
          <t>Lowest month: January 2026 at 2.417% (241.7 bps). Highest month: November 2025 at 2.579% (257.9 bps). A spread of 16 bps month-to-month is consistent with cardholder mix shift (different mix of issuer countries, brand mix, debit/credit/commercial mix). It is NOT consistent with a single-tier flat rate.</t>
        </is>
      </c>
    </row>
    <row r="14" ht="42" customHeight="1">
      <c r="A14" s="58" t="inlineStr">
        <is>
          <t>MEDIUM</t>
        </is>
      </c>
      <c r="B14" s="55" t="inlineStr">
        <is>
          <t>Reporting transparency</t>
        </is>
      </c>
      <c r="C14" s="56" t="inlineStr">
        <is>
          <t>No card type split (debit vs credit vs prepaid vs commercial)</t>
        </is>
      </c>
      <c r="D14" s="57" t="inlineStr">
        <is>
          <t>The PDF distinguishes only Bancomat vs International Cards. Within International Cards there is no separation between consumer debit, consumer credit, prepaid, or commercial / corporate cards - even though IFR caps these very differently.</t>
        </is>
      </c>
    </row>
    <row r="15" ht="40" customHeight="1">
      <c r="A15" s="58" t="inlineStr">
        <is>
          <t>MEDIUM</t>
        </is>
      </c>
      <c r="B15" s="55" t="inlineStr">
        <is>
          <t>Reporting transparency</t>
        </is>
      </c>
      <c r="C15" s="56" t="inlineStr">
        <is>
          <t>No BIN-level detail</t>
        </is>
      </c>
      <c r="D15" s="57" t="inlineStr">
        <is>
          <t>Individual transactions are listed only by date and reference ID. There is no card BIN range, masked PAN, or any issuer identifier in the daily detail.</t>
        </is>
      </c>
    </row>
    <row r="16" ht="56" customHeight="1">
      <c r="A16" s="39" t="inlineStr">
        <is>
          <t>LOW</t>
        </is>
      </c>
      <c r="B16" s="55" t="inlineStr">
        <is>
          <t>Account structure</t>
        </is>
      </c>
      <c r="C16" s="56" t="inlineStr">
        <is>
          <t>Payment Contract PC0000280938 appears in only 1 month with 1 transaction(s)</t>
        </is>
      </c>
      <c r="D16" s="57" t="inlineStr">
        <is>
          <t>Contract PC0000280938 is active only in 2025-09 with 1 transaction(s) totaling EUR 198.00. This is unusual - either a test transaction, a legacy terminal that fired once, a separate channel (e-commerce vs in-store) that the merchant did not realize was active, or a one-off booking. Worth confirming with the merchant.</t>
        </is>
      </c>
    </row>
    <row r="17" ht="56" customHeight="1">
      <c r="A17" s="39" t="inlineStr">
        <is>
          <t>LOW</t>
        </is>
      </c>
      <c r="B17" s="55" t="inlineStr">
        <is>
          <t>Fixed fee disproportion</t>
        </is>
      </c>
      <c r="C17" s="56" t="inlineStr">
        <is>
          <t>Fixed monthly fees added more than 0.5 bps in 1 month(s)</t>
        </is>
      </c>
      <c r="D17" s="57" t="inlineStr">
        <is>
          <t>Nexi charges a flat EUR 2.50 'Commissione di Acquiring in Euro' + EUR 2.00 'Imposta di Bollo' (Italian stamp tax) per contract per month, regardless of volume. On low-volume months these flat fees become a larger share of the basis-point cost. Worst month: October 2025 with 1.0 bps of uplift on EUR 45,580.04 of volume.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30" customWidth="1" min="1" max="1"/>
    <col width="38" customWidth="1" min="2" max="2"/>
    <col width="14" customWidth="1" min="3" max="3"/>
    <col width="14" customWidth="1" min="4" max="4"/>
    <col width="16" customWidth="1" min="5" max="5"/>
    <col width="13" customWidth="1" min="6" max="6"/>
    <col width="16" customWidth="1" min="7" max="7"/>
  </cols>
  <sheetData>
    <row r="1">
      <c r="A1" s="1" t="inlineStr">
        <is>
          <t>Merchant Acquirer Setup</t>
        </is>
      </c>
    </row>
    <row r="2">
      <c r="A2" s="2" t="inlineStr">
        <is>
          <t>Bank routing, payment contracts, POS codes, and card mix that ARE in the Nexi PDF</t>
        </is>
      </c>
    </row>
    <row r="4">
      <c r="A4" s="59" t="inlineStr">
        <is>
          <t>Merchant</t>
        </is>
      </c>
      <c r="B4" s="60" t="inlineStr">
        <is>
          <t>OVER THE LUX S.R.L.</t>
        </is>
      </c>
    </row>
    <row r="5">
      <c r="A5" s="59" t="inlineStr">
        <is>
          <t>Tax ID / Partita IVA</t>
        </is>
      </c>
      <c r="B5" s="60" t="inlineStr">
        <is>
          <t>06979100960</t>
        </is>
      </c>
    </row>
    <row r="6">
      <c r="A6" s="59" t="inlineStr">
        <is>
          <t>Country</t>
        </is>
      </c>
      <c r="B6" s="60" t="inlineStr">
        <is>
          <t>Italy</t>
        </is>
      </c>
    </row>
    <row r="7">
      <c r="A7" s="59" t="inlineStr">
        <is>
          <t>City</t>
        </is>
      </c>
      <c r="B7" s="60" t="inlineStr">
        <is>
          <t>Milan</t>
        </is>
      </c>
    </row>
    <row r="8">
      <c r="A8" s="59" t="inlineStr">
        <is>
          <t>Acquirer</t>
        </is>
      </c>
      <c r="B8" s="60" t="inlineStr">
        <is>
          <t>Nexi (Italy)</t>
        </is>
      </c>
    </row>
    <row r="9">
      <c r="A9" s="59" t="inlineStr">
        <is>
          <t>Settlement Bank</t>
        </is>
      </c>
      <c r="B9" s="60" t="inlineStr">
        <is>
          <t>MONTE DEI PASCHI DI SIENA</t>
        </is>
      </c>
    </row>
    <row r="10">
      <c r="A10" s="59" t="inlineStr">
        <is>
          <t>ABI</t>
        </is>
      </c>
      <c r="B10" s="60" t="inlineStr">
        <is>
          <t>01030</t>
        </is>
      </c>
    </row>
    <row r="11">
      <c r="A11" s="59" t="inlineStr">
        <is>
          <t>CAB</t>
        </is>
      </c>
      <c r="B11" s="60" t="inlineStr">
        <is>
          <t>01661</t>
        </is>
      </c>
    </row>
    <row r="12">
      <c r="A12" s="59" t="inlineStr">
        <is>
          <t>IBAN</t>
        </is>
      </c>
      <c r="B12" s="60" t="inlineStr">
        <is>
          <t>IT80L0103001661000001388752</t>
        </is>
      </c>
    </row>
    <row r="13">
      <c r="A13" s="59" t="inlineStr">
        <is>
          <t>POS Code(s)</t>
        </is>
      </c>
      <c r="B13" s="60" t="inlineStr">
        <is>
          <t>LN0003602146</t>
        </is>
      </c>
    </row>
    <row r="14">
      <c r="A14" s="59" t="inlineStr">
        <is>
          <t>Active Payment Contracts</t>
        </is>
      </c>
      <c r="B14" s="60" t="inlineStr">
        <is>
          <t>2</t>
        </is>
      </c>
    </row>
    <row r="15">
      <c r="A15" t="inlineStr"/>
      <c r="B15" t="inlineStr"/>
    </row>
    <row r="16">
      <c r="A16" s="61" t="inlineStr">
        <is>
          <t>CARD MIX (full period)</t>
        </is>
      </c>
      <c r="B16" t="inlineStr"/>
    </row>
    <row r="17">
      <c r="A17" s="59" t="inlineStr">
        <is>
          <t>International Cards Volume</t>
        </is>
      </c>
      <c r="B17" s="60" t="inlineStr">
        <is>
          <t>EUR 839,433.04</t>
        </is>
      </c>
    </row>
    <row r="18">
      <c r="A18" s="59" t="inlineStr">
        <is>
          <t>Bancomat (IT debit) Volume</t>
        </is>
      </c>
      <c r="B18" s="60" t="inlineStr">
        <is>
          <t>EUR 0.00</t>
        </is>
      </c>
    </row>
    <row r="19">
      <c r="A19" s="59" t="inlineStr">
        <is>
          <t>International Cards % of Volume</t>
        </is>
      </c>
      <c r="B19" s="60" t="inlineStr">
        <is>
          <t>100.00%</t>
        </is>
      </c>
    </row>
    <row r="20">
      <c r="A20" s="59" t="inlineStr">
        <is>
          <t>Bancomat % of Volume</t>
        </is>
      </c>
      <c r="B20" s="60" t="inlineStr">
        <is>
          <t>0.00%</t>
        </is>
      </c>
    </row>
    <row r="23">
      <c r="A23" s="34" t="inlineStr">
        <is>
          <t>Payment Contracts (per Nexi PDF)</t>
        </is>
      </c>
    </row>
    <row r="24">
      <c r="A24" s="3" t="inlineStr">
        <is>
          <t>Contract ID</t>
        </is>
      </c>
      <c r="B24" s="3" t="inlineStr">
        <is>
          <t>First Seen</t>
        </is>
      </c>
      <c r="C24" s="3" t="inlineStr">
        <is>
          <t>Last Seen</t>
        </is>
      </c>
      <c r="D24" s="3" t="inlineStr">
        <is>
          <t>Months Active</t>
        </is>
      </c>
      <c r="E24" s="3" t="inlineStr">
        <is>
          <t>Total Volume</t>
        </is>
      </c>
      <c r="F24" s="3" t="inlineStr">
        <is>
          <t>Total Txns</t>
        </is>
      </c>
      <c r="G24" s="3" t="inlineStr">
        <is>
          <t>Total Fees</t>
        </is>
      </c>
    </row>
    <row r="25">
      <c r="A25" s="62" t="inlineStr">
        <is>
          <t>PC0000280938</t>
        </is>
      </c>
      <c r="B25" s="62" t="inlineStr">
        <is>
          <t>2025-09</t>
        </is>
      </c>
      <c r="C25" s="62" t="inlineStr">
        <is>
          <t>2025-09</t>
        </is>
      </c>
      <c r="D25" s="63" t="n">
        <v>1</v>
      </c>
      <c r="E25" s="5" t="n">
        <v>198</v>
      </c>
      <c r="F25" s="6" t="n">
        <v>1</v>
      </c>
      <c r="G25" s="5" t="n">
        <v>5.25</v>
      </c>
    </row>
    <row r="26">
      <c r="A26" s="62" t="inlineStr">
        <is>
          <t>PC0001263218</t>
        </is>
      </c>
      <c r="B26" s="62" t="inlineStr">
        <is>
          <t>2025-09</t>
        </is>
      </c>
      <c r="C26" s="62" t="inlineStr">
        <is>
          <t>2026-01</t>
        </is>
      </c>
      <c r="D26" s="63" t="n">
        <v>5</v>
      </c>
      <c r="E26" s="5" t="n">
        <v>839235.04</v>
      </c>
      <c r="F26" s="6" t="n">
        <v>105</v>
      </c>
      <c r="G26" s="5" t="n">
        <v>21324.65</v>
      </c>
    </row>
    <row r="30">
      <c r="A30" s="64" t="inlineStr">
        <is>
          <t>DATA LIMITATIONS - what the monthly PDF does NOT contain:</t>
        </is>
      </c>
    </row>
    <row r="31">
      <c r="A31" s="65" t="inlineStr">
        <is>
          <t xml:space="preserve">  - Nexi monthly Estratto Conto PDFs do NOT break down volume by card brand (Visa, Mastercard, AMEX, etc.).</t>
        </is>
      </c>
    </row>
    <row r="32">
      <c r="A32" s="65" t="inlineStr">
        <is>
          <t xml:space="preserve">  - Per-brand, per-BIN, and per-issuer detail is only available in the Nexi Business portal at business.nexi.it under the 'Transazioni' section.</t>
        </is>
      </c>
    </row>
    <row r="33">
      <c r="A33" s="65" t="inlineStr">
        <is>
          <t xml:space="preserve">  - All transactions in the daily detail are bucketed as 'CIRCUITI INTERNAZIONALI' (international card networks).</t>
        </is>
      </c>
    </row>
    <row r="34">
      <c r="A34" s="65" t="inlineStr">
        <is>
          <t xml:space="preserve">  - Bancomat (Italian domestic debit) is reported separately - this merchant has 0 EUR Bancomat activity in the captured period.</t>
        </is>
      </c>
    </row>
    <row r="35">
      <c r="A35" s="65" t="inlineStr">
        <is>
          <t xml:space="preserve">  - To enable per-brand analysis, export the Transazioni CSV from Nexi Business and re-run with the --transactions-csv flag (parser will be extended in a follow-up).</t>
        </is>
      </c>
    </row>
    <row r="39">
      <c r="A39" s="34" t="inlineStr">
        <is>
          <t>Card Mix Per Month</t>
        </is>
      </c>
    </row>
    <row r="40">
      <c r="A40" s="3" t="inlineStr">
        <is>
          <t>Period</t>
        </is>
      </c>
      <c r="B40" s="3" t="inlineStr">
        <is>
          <t>International Cards (EUR)</t>
        </is>
      </c>
      <c r="C40" s="3" t="inlineStr">
        <is>
          <t>Bancomat (EUR)</t>
        </is>
      </c>
      <c r="D40" s="3" t="inlineStr">
        <is>
          <t>International %</t>
        </is>
      </c>
      <c r="E40" s="3" t="inlineStr">
        <is>
          <t>Bancomat %</t>
        </is>
      </c>
    </row>
    <row r="41">
      <c r="A41" s="4" t="inlineStr">
        <is>
          <t>2025-09</t>
        </is>
      </c>
      <c r="B41" s="5" t="n">
        <v>253379.5</v>
      </c>
      <c r="C41" s="5" t="n">
        <v>0</v>
      </c>
      <c r="D41" s="12" t="n">
        <v>100</v>
      </c>
      <c r="E41" s="12" t="n">
        <v>0</v>
      </c>
    </row>
    <row r="42">
      <c r="A42" s="4" t="inlineStr">
        <is>
          <t>2025-10</t>
        </is>
      </c>
      <c r="B42" s="5" t="n">
        <v>45580.04</v>
      </c>
      <c r="C42" s="5" t="n">
        <v>0</v>
      </c>
      <c r="D42" s="12" t="n">
        <v>100</v>
      </c>
      <c r="E42" s="12" t="n">
        <v>0</v>
      </c>
    </row>
    <row r="43">
      <c r="A43" s="4" t="inlineStr">
        <is>
          <t>2025-11</t>
        </is>
      </c>
      <c r="B43" s="5" t="n">
        <v>251228.5</v>
      </c>
      <c r="C43" s="5" t="n">
        <v>0</v>
      </c>
      <c r="D43" s="12" t="n">
        <v>100</v>
      </c>
      <c r="E43" s="12" t="n">
        <v>0</v>
      </c>
    </row>
    <row r="44">
      <c r="A44" s="4" t="inlineStr">
        <is>
          <t>2025-12</t>
        </is>
      </c>
      <c r="B44" s="5" t="n">
        <v>177397</v>
      </c>
      <c r="C44" s="5" t="n">
        <v>0</v>
      </c>
      <c r="D44" s="12" t="n">
        <v>100</v>
      </c>
      <c r="E44" s="12" t="n">
        <v>0</v>
      </c>
    </row>
    <row r="45">
      <c r="A45" s="4" t="inlineStr">
        <is>
          <t>2026-01</t>
        </is>
      </c>
      <c r="B45" s="5" t="n">
        <v>111848</v>
      </c>
      <c r="C45" s="5" t="n">
        <v>0</v>
      </c>
      <c r="D45" s="12" t="n">
        <v>100</v>
      </c>
      <c r="E45" s="12" t="n">
        <v>0</v>
      </c>
    </row>
  </sheetData>
  <mergeCells count="5">
    <mergeCell ref="A32:G32"/>
    <mergeCell ref="A31:G31"/>
    <mergeCell ref="A34:G34"/>
    <mergeCell ref="A35:G35"/>
    <mergeCell ref="A33:G3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9"/>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22" customWidth="1" min="3" max="3"/>
    <col width="14" customWidth="1" min="4" max="4"/>
    <col width="12" customWidth="1" min="5" max="5"/>
    <col width="14" customWidth="1" min="6" max="6"/>
    <col width="8" customWidth="1" min="7" max="7"/>
    <col width="18" customWidth="1" min="8" max="8"/>
    <col width="18" customWidth="1" min="9" max="9"/>
  </cols>
  <sheetData>
    <row r="1">
      <c r="A1" s="1" t="inlineStr">
        <is>
          <t>Daily Detail – 2025-09</t>
        </is>
      </c>
    </row>
    <row r="2">
      <c r="A2" s="2" t="inlineStr">
        <is>
          <t>15 daily settlement rows from Estratto conto Settembre 2025.pdf</t>
        </is>
      </c>
    </row>
    <row r="4">
      <c r="A4" s="3" t="inlineStr">
        <is>
          <t>Disposition Date</t>
        </is>
      </c>
      <c r="B4" s="3" t="inlineStr">
        <is>
          <t>Operation Date</t>
        </is>
      </c>
      <c r="C4" s="3" t="inlineStr">
        <is>
          <t>Type</t>
        </is>
      </c>
      <c r="D4" s="3" t="inlineStr">
        <is>
          <t>Gross (€)</t>
        </is>
      </c>
      <c r="E4" s="3" t="inlineStr">
        <is>
          <t>Fees (€)</t>
        </is>
      </c>
      <c r="F4" s="3" t="inlineStr">
        <is>
          <t>Net (€)</t>
        </is>
      </c>
      <c r="G4" s="3" t="inlineStr">
        <is>
          <t>Count</t>
        </is>
      </c>
      <c r="H4" s="3" t="inlineStr">
        <is>
          <t>Contract</t>
        </is>
      </c>
      <c r="I4" s="3" t="inlineStr">
        <is>
          <t>Ref ID</t>
        </is>
      </c>
    </row>
    <row r="5">
      <c r="A5" s="4" t="inlineStr">
        <is>
          <t>05/09/25</t>
        </is>
      </c>
      <c r="B5" s="4" t="inlineStr">
        <is>
          <t>04/09/25</t>
        </is>
      </c>
      <c r="C5" s="62" t="inlineStr">
        <is>
          <t>Intl Card Networks</t>
        </is>
      </c>
      <c r="D5" s="5" t="n">
        <v>198</v>
      </c>
      <c r="E5" s="5" t="n">
        <v>5.25</v>
      </c>
      <c r="F5" s="5" t="n">
        <v>192.75</v>
      </c>
      <c r="G5" s="6" t="n">
        <v>1</v>
      </c>
      <c r="H5" s="62" t="inlineStr">
        <is>
          <t>PC0000280938</t>
        </is>
      </c>
      <c r="I5" s="62" t="inlineStr">
        <is>
          <t>889882977599</t>
        </is>
      </c>
    </row>
    <row r="6">
      <c r="A6" s="4" t="inlineStr">
        <is>
          <t>02/09/25</t>
        </is>
      </c>
      <c r="B6" s="4" t="inlineStr">
        <is>
          <t>01/09/25</t>
        </is>
      </c>
      <c r="C6" s="62" t="inlineStr">
        <is>
          <t>Intl Card Networks</t>
        </is>
      </c>
      <c r="D6" s="5" t="n">
        <v>1648</v>
      </c>
      <c r="E6" s="5" t="n">
        <v>42.85</v>
      </c>
      <c r="F6" s="5" t="n">
        <v>1605.15</v>
      </c>
      <c r="G6" s="6" t="n">
        <v>1</v>
      </c>
      <c r="H6" s="62" t="inlineStr">
        <is>
          <t>PC0001263218</t>
        </is>
      </c>
      <c r="I6" s="62" t="inlineStr">
        <is>
          <t>885227324699</t>
        </is>
      </c>
    </row>
    <row r="7">
      <c r="A7" s="4" t="inlineStr">
        <is>
          <t>06/09/25</t>
        </is>
      </c>
      <c r="B7" s="4" t="inlineStr">
        <is>
          <t>05/09/25</t>
        </is>
      </c>
      <c r="C7" s="62" t="inlineStr">
        <is>
          <t>Intl Card Networks</t>
        </is>
      </c>
      <c r="D7" s="5" t="n">
        <v>33865</v>
      </c>
      <c r="E7" s="5" t="n">
        <v>910.97</v>
      </c>
      <c r="F7" s="5" t="n">
        <v>32954.03</v>
      </c>
      <c r="G7" s="6" t="n">
        <v>3</v>
      </c>
      <c r="H7" s="62" t="inlineStr">
        <is>
          <t>PC0001263218</t>
        </is>
      </c>
      <c r="I7" s="62" t="inlineStr">
        <is>
          <t>891587032899</t>
        </is>
      </c>
    </row>
    <row r="8">
      <c r="A8" s="4" t="inlineStr">
        <is>
          <t>07/09/25</t>
        </is>
      </c>
      <c r="B8" s="4" t="inlineStr">
        <is>
          <t>06/09/25</t>
        </is>
      </c>
      <c r="C8" s="62" t="inlineStr">
        <is>
          <t>Intl Card Networks</t>
        </is>
      </c>
      <c r="D8" s="5" t="n">
        <v>121825</v>
      </c>
      <c r="E8" s="5" t="n">
        <v>3211.39</v>
      </c>
      <c r="F8" s="5" t="n">
        <v>118613.61</v>
      </c>
      <c r="G8" s="6" t="n">
        <v>6</v>
      </c>
      <c r="H8" s="62" t="inlineStr">
        <is>
          <t>PC0001263218</t>
        </is>
      </c>
      <c r="I8" s="62" t="inlineStr">
        <is>
          <t>893303840399</t>
        </is>
      </c>
    </row>
    <row r="9">
      <c r="A9" s="66" t="inlineStr">
        <is>
          <t>10/09/25</t>
        </is>
      </c>
      <c r="B9" s="66" t="inlineStr">
        <is>
          <t>09/09/25</t>
        </is>
      </c>
      <c r="C9" s="67" t="inlineStr">
        <is>
          <t>Intl Card Networks</t>
        </is>
      </c>
      <c r="D9" s="68" t="n">
        <v>-73000</v>
      </c>
      <c r="E9" s="68" t="n">
        <v>-1929.5</v>
      </c>
      <c r="F9" s="68" t="n">
        <v>-71070.5</v>
      </c>
      <c r="G9" s="69" t="n">
        <v>2</v>
      </c>
      <c r="H9" s="67" t="inlineStr">
        <is>
          <t>PC0001263218</t>
        </is>
      </c>
      <c r="I9" s="67" t="inlineStr">
        <is>
          <t>897412605399</t>
        </is>
      </c>
    </row>
    <row r="10">
      <c r="A10" s="66" t="inlineStr">
        <is>
          <t>11/09/25</t>
        </is>
      </c>
      <c r="B10" s="66" t="inlineStr">
        <is>
          <t>10/09/25</t>
        </is>
      </c>
      <c r="C10" s="67" t="inlineStr">
        <is>
          <t>Intl Card Networks</t>
        </is>
      </c>
      <c r="D10" s="68" t="n">
        <v>-16845.5</v>
      </c>
      <c r="E10" s="68" t="n">
        <v>-437.28</v>
      </c>
      <c r="F10" s="68" t="n">
        <v>-16408.22</v>
      </c>
      <c r="G10" s="69" t="n">
        <v>2</v>
      </c>
      <c r="H10" s="67" t="inlineStr">
        <is>
          <t>PC0001263218</t>
        </is>
      </c>
      <c r="I10" s="67" t="inlineStr">
        <is>
          <t>898975570199</t>
        </is>
      </c>
    </row>
    <row r="11">
      <c r="A11" s="4" t="inlineStr">
        <is>
          <t>16/09/25</t>
        </is>
      </c>
      <c r="B11" s="4" t="inlineStr">
        <is>
          <t>15/09/25</t>
        </is>
      </c>
      <c r="C11" s="62" t="inlineStr">
        <is>
          <t>Intl Card Networks</t>
        </is>
      </c>
      <c r="D11" s="5" t="n">
        <v>190</v>
      </c>
      <c r="E11" s="5" t="n">
        <v>4.94</v>
      </c>
      <c r="F11" s="5" t="n">
        <v>185.06</v>
      </c>
      <c r="G11" s="6" t="n">
        <v>1</v>
      </c>
      <c r="H11" s="62" t="inlineStr">
        <is>
          <t>PC0001263218</t>
        </is>
      </c>
      <c r="I11" s="62" t="inlineStr">
        <is>
          <t>906657658299</t>
        </is>
      </c>
    </row>
    <row r="12">
      <c r="A12" s="4" t="inlineStr">
        <is>
          <t>19/09/25</t>
        </is>
      </c>
      <c r="B12" s="4" t="inlineStr">
        <is>
          <t>18/09/25</t>
        </is>
      </c>
      <c r="C12" s="62" t="inlineStr">
        <is>
          <t>Intl Card Networks</t>
        </is>
      </c>
      <c r="D12" s="5" t="n">
        <v>122202</v>
      </c>
      <c r="E12" s="5" t="n">
        <v>3177.25</v>
      </c>
      <c r="F12" s="5" t="n">
        <v>119024.75</v>
      </c>
      <c r="G12" s="6" t="n">
        <v>4</v>
      </c>
      <c r="H12" s="62" t="inlineStr">
        <is>
          <t>PC0001263218</t>
        </is>
      </c>
      <c r="I12" s="62" t="inlineStr">
        <is>
          <t>911375996299</t>
        </is>
      </c>
    </row>
    <row r="13">
      <c r="A13" s="4" t="inlineStr">
        <is>
          <t>20/09/25</t>
        </is>
      </c>
      <c r="B13" s="4" t="inlineStr">
        <is>
          <t>19/09/25</t>
        </is>
      </c>
      <c r="C13" s="62" t="inlineStr">
        <is>
          <t>Intl Card Networks</t>
        </is>
      </c>
      <c r="D13" s="5" t="n">
        <v>24520</v>
      </c>
      <c r="E13" s="5" t="n">
        <v>659.12</v>
      </c>
      <c r="F13" s="5" t="n">
        <v>23860.88</v>
      </c>
      <c r="G13" s="6" t="n">
        <v>3</v>
      </c>
      <c r="H13" s="62" t="inlineStr">
        <is>
          <t>PC0001263218</t>
        </is>
      </c>
      <c r="I13" s="62" t="inlineStr">
        <is>
          <t>913057800199</t>
        </is>
      </c>
    </row>
    <row r="14">
      <c r="A14" s="4" t="inlineStr">
        <is>
          <t>23/09/25</t>
        </is>
      </c>
      <c r="B14" s="4" t="inlineStr">
        <is>
          <t>22/09/25</t>
        </is>
      </c>
      <c r="C14" s="62" t="inlineStr">
        <is>
          <t>Intl Card Networks</t>
        </is>
      </c>
      <c r="D14" s="5" t="n">
        <v>6160</v>
      </c>
      <c r="E14" s="5" t="n">
        <v>160.16</v>
      </c>
      <c r="F14" s="5" t="n">
        <v>5999.84</v>
      </c>
      <c r="G14" s="6" t="n">
        <v>1</v>
      </c>
      <c r="H14" s="62" t="inlineStr">
        <is>
          <t>PC0001263218</t>
        </is>
      </c>
      <c r="I14" s="62" t="inlineStr">
        <is>
          <t>917322381999</t>
        </is>
      </c>
    </row>
    <row r="15">
      <c r="A15" s="4" t="inlineStr">
        <is>
          <t>25/09/25</t>
        </is>
      </c>
      <c r="B15" s="4" t="inlineStr">
        <is>
          <t>24/09/25</t>
        </is>
      </c>
      <c r="C15" s="62" t="inlineStr">
        <is>
          <t>Intl Card Networks</t>
        </is>
      </c>
      <c r="D15" s="5" t="n">
        <v>560</v>
      </c>
      <c r="E15" s="5" t="n">
        <v>14.56</v>
      </c>
      <c r="F15" s="5" t="n">
        <v>545.4400000000001</v>
      </c>
      <c r="G15" s="6" t="n">
        <v>1</v>
      </c>
      <c r="H15" s="62" t="inlineStr">
        <is>
          <t>PC0001263218</t>
        </is>
      </c>
      <c r="I15" s="62" t="inlineStr">
        <is>
          <t>920336751899</t>
        </is>
      </c>
    </row>
    <row r="16">
      <c r="A16" s="4" t="inlineStr">
        <is>
          <t>26/09/25</t>
        </is>
      </c>
      <c r="B16" s="4" t="inlineStr">
        <is>
          <t>25/09/25</t>
        </is>
      </c>
      <c r="C16" s="62" t="inlineStr">
        <is>
          <t>Intl Card Networks</t>
        </is>
      </c>
      <c r="D16" s="5" t="n">
        <v>8679</v>
      </c>
      <c r="E16" s="5" t="n">
        <v>233.33</v>
      </c>
      <c r="F16" s="5" t="n">
        <v>8445.67</v>
      </c>
      <c r="G16" s="6" t="n">
        <v>2</v>
      </c>
      <c r="H16" s="62" t="inlineStr">
        <is>
          <t>PC0001263218</t>
        </is>
      </c>
      <c r="I16" s="62" t="inlineStr">
        <is>
          <t>921885878699</t>
        </is>
      </c>
    </row>
    <row r="17">
      <c r="A17" s="4" t="inlineStr">
        <is>
          <t>27/09/25</t>
        </is>
      </c>
      <c r="B17" s="4" t="inlineStr">
        <is>
          <t>26/09/25</t>
        </is>
      </c>
      <c r="C17" s="62" t="inlineStr">
        <is>
          <t>Intl Card Networks</t>
        </is>
      </c>
      <c r="D17" s="5" t="n">
        <v>7230</v>
      </c>
      <c r="E17" s="5" t="n">
        <v>64.34999999999999</v>
      </c>
      <c r="F17" s="5" t="n">
        <v>7165.65</v>
      </c>
      <c r="G17" s="6" t="n">
        <v>2</v>
      </c>
      <c r="H17" s="62" t="inlineStr">
        <is>
          <t>PC0001263218</t>
        </is>
      </c>
      <c r="I17" s="62" t="inlineStr">
        <is>
          <t>923524481399</t>
        </is>
      </c>
    </row>
    <row r="18">
      <c r="A18" s="4" t="inlineStr">
        <is>
          <t>29/09/25</t>
        </is>
      </c>
      <c r="B18" s="4" t="inlineStr">
        <is>
          <t>28/09/25</t>
        </is>
      </c>
      <c r="C18" s="62" t="inlineStr">
        <is>
          <t>Intl Card Networks</t>
        </is>
      </c>
      <c r="D18" s="5" t="n">
        <v>750</v>
      </c>
      <c r="E18" s="5" t="n">
        <v>6.68</v>
      </c>
      <c r="F18" s="5" t="n">
        <v>743.33</v>
      </c>
      <c r="G18" s="6" t="n">
        <v>1</v>
      </c>
      <c r="H18" s="62" t="inlineStr">
        <is>
          <t>PC0001263218</t>
        </is>
      </c>
      <c r="I18" s="62" t="inlineStr">
        <is>
          <t>926370831399</t>
        </is>
      </c>
    </row>
    <row r="19">
      <c r="A19" s="4" t="inlineStr">
        <is>
          <t>30/09/25</t>
        </is>
      </c>
      <c r="B19" s="4" t="inlineStr">
        <is>
          <t>29/09/25</t>
        </is>
      </c>
      <c r="C19" s="62" t="inlineStr">
        <is>
          <t>Intl Card Networks</t>
        </is>
      </c>
      <c r="D19" s="5" t="n">
        <v>15398</v>
      </c>
      <c r="E19" s="5" t="n">
        <v>400.35</v>
      </c>
      <c r="F19" s="5" t="n">
        <v>14997.65</v>
      </c>
      <c r="G19" s="6" t="n">
        <v>2</v>
      </c>
      <c r="H19" s="62" t="inlineStr">
        <is>
          <t>PC0001263218</t>
        </is>
      </c>
      <c r="I19" s="62" t="inlineStr">
        <is>
          <t>927772206599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2"/>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22" customWidth="1" min="3" max="3"/>
    <col width="14" customWidth="1" min="4" max="4"/>
    <col width="12" customWidth="1" min="5" max="5"/>
    <col width="14" customWidth="1" min="6" max="6"/>
    <col width="8" customWidth="1" min="7" max="7"/>
    <col width="18" customWidth="1" min="8" max="8"/>
    <col width="18" customWidth="1" min="9" max="9"/>
  </cols>
  <sheetData>
    <row r="1">
      <c r="A1" s="1" t="inlineStr">
        <is>
          <t>Daily Detail – 2025-10</t>
        </is>
      </c>
    </row>
    <row r="2">
      <c r="A2" s="2" t="inlineStr">
        <is>
          <t>18 daily settlement rows from Estratto conto Ottobre 2025.pdf</t>
        </is>
      </c>
    </row>
    <row r="4">
      <c r="A4" s="3" t="inlineStr">
        <is>
          <t>Disposition Date</t>
        </is>
      </c>
      <c r="B4" s="3" t="inlineStr">
        <is>
          <t>Operation Date</t>
        </is>
      </c>
      <c r="C4" s="3" t="inlineStr">
        <is>
          <t>Type</t>
        </is>
      </c>
      <c r="D4" s="3" t="inlineStr">
        <is>
          <t>Gross (€)</t>
        </is>
      </c>
      <c r="E4" s="3" t="inlineStr">
        <is>
          <t>Fees (€)</t>
        </is>
      </c>
      <c r="F4" s="3" t="inlineStr">
        <is>
          <t>Net (€)</t>
        </is>
      </c>
      <c r="G4" s="3" t="inlineStr">
        <is>
          <t>Count</t>
        </is>
      </c>
      <c r="H4" s="3" t="inlineStr">
        <is>
          <t>Contract</t>
        </is>
      </c>
      <c r="I4" s="3" t="inlineStr">
        <is>
          <t>Ref ID</t>
        </is>
      </c>
    </row>
    <row r="5">
      <c r="A5" s="4" t="inlineStr">
        <is>
          <t>04/10/25</t>
        </is>
      </c>
      <c r="B5" s="4" t="inlineStr">
        <is>
          <t>03/10/25</t>
        </is>
      </c>
      <c r="C5" s="62" t="inlineStr">
        <is>
          <t>Intl Card Networks</t>
        </is>
      </c>
      <c r="D5" s="5" t="n">
        <v>720</v>
      </c>
      <c r="E5" s="5" t="n">
        <v>18.72</v>
      </c>
      <c r="F5" s="5" t="n">
        <v>701.28</v>
      </c>
      <c r="G5" s="6" t="n">
        <v>1</v>
      </c>
      <c r="H5" s="62" t="inlineStr">
        <is>
          <t>PC0001263218</t>
        </is>
      </c>
      <c r="I5" s="62" t="inlineStr">
        <is>
          <t>934810964699</t>
        </is>
      </c>
    </row>
    <row r="6">
      <c r="A6" s="4" t="inlineStr">
        <is>
          <t>05/10/25</t>
        </is>
      </c>
      <c r="B6" s="4" t="inlineStr">
        <is>
          <t>04/10/25</t>
        </is>
      </c>
      <c r="C6" s="62" t="inlineStr">
        <is>
          <t>Intl Card Networks</t>
        </is>
      </c>
      <c r="D6" s="5" t="n">
        <v>6110</v>
      </c>
      <c r="E6" s="5" t="n">
        <v>158.86</v>
      </c>
      <c r="F6" s="5" t="n">
        <v>5951.14</v>
      </c>
      <c r="G6" s="6" t="n">
        <v>2</v>
      </c>
      <c r="H6" s="62" t="inlineStr">
        <is>
          <t>PC0001263218</t>
        </is>
      </c>
      <c r="I6" s="62" t="inlineStr">
        <is>
          <t>936515218599</t>
        </is>
      </c>
    </row>
    <row r="7">
      <c r="A7" s="4" t="inlineStr">
        <is>
          <t>07/10/25</t>
        </is>
      </c>
      <c r="B7" s="4" t="inlineStr">
        <is>
          <t>06/10/25</t>
        </is>
      </c>
      <c r="C7" s="62" t="inlineStr">
        <is>
          <t>Intl Card Networks</t>
        </is>
      </c>
      <c r="D7" s="5" t="n">
        <v>7699</v>
      </c>
      <c r="E7" s="5" t="n">
        <v>200.17</v>
      </c>
      <c r="F7" s="5" t="n">
        <v>7498.83</v>
      </c>
      <c r="G7" s="6" t="n">
        <v>1</v>
      </c>
      <c r="H7" s="62" t="inlineStr">
        <is>
          <t>PC0001263218</t>
        </is>
      </c>
      <c r="I7" s="62" t="inlineStr">
        <is>
          <t>938950060799</t>
        </is>
      </c>
    </row>
    <row r="8">
      <c r="A8" s="66" t="inlineStr">
        <is>
          <t>07/10/25</t>
        </is>
      </c>
      <c r="B8" s="66" t="inlineStr">
        <is>
          <t>06/10/25</t>
        </is>
      </c>
      <c r="C8" s="67" t="inlineStr">
        <is>
          <t>DISPUTE</t>
        </is>
      </c>
      <c r="D8" s="68" t="n">
        <v>-8625</v>
      </c>
      <c r="E8" s="68" t="n">
        <v>-224.25</v>
      </c>
      <c r="F8" s="68" t="n">
        <v>-8400.75</v>
      </c>
      <c r="G8" s="69" t="n">
        <v>1</v>
      </c>
      <c r="H8" s="67" t="inlineStr">
        <is>
          <t>PC0001263218</t>
        </is>
      </c>
      <c r="I8" s="67" t="inlineStr">
        <is>
          <t>938968875999</t>
        </is>
      </c>
    </row>
    <row r="9">
      <c r="A9" s="4" t="inlineStr">
        <is>
          <t>08/10/25</t>
        </is>
      </c>
      <c r="B9" s="4" t="inlineStr">
        <is>
          <t>07/10/25</t>
        </is>
      </c>
      <c r="C9" s="62" t="inlineStr">
        <is>
          <t>Intl Card Networks</t>
        </is>
      </c>
      <c r="D9" s="5" t="n">
        <v>2649</v>
      </c>
      <c r="E9" s="5" t="n">
        <v>50.25</v>
      </c>
      <c r="F9" s="5" t="n">
        <v>2598.75</v>
      </c>
      <c r="G9" s="6" t="n">
        <v>2</v>
      </c>
      <c r="H9" s="62" t="inlineStr">
        <is>
          <t>PC0001263218</t>
        </is>
      </c>
      <c r="I9" s="62" t="inlineStr">
        <is>
          <t>940427292899</t>
        </is>
      </c>
    </row>
    <row r="10">
      <c r="A10" s="4" t="inlineStr">
        <is>
          <t>10/10/25</t>
        </is>
      </c>
      <c r="B10" s="4" t="inlineStr">
        <is>
          <t>09/10/25</t>
        </is>
      </c>
      <c r="C10" s="62" t="inlineStr">
        <is>
          <t>Intl Card Networks</t>
        </is>
      </c>
      <c r="D10" s="5" t="n">
        <v>1760</v>
      </c>
      <c r="E10" s="5" t="n">
        <v>45.76</v>
      </c>
      <c r="F10" s="5" t="n">
        <v>1714.24</v>
      </c>
      <c r="G10" s="6" t="n">
        <v>1</v>
      </c>
      <c r="H10" s="62" t="inlineStr">
        <is>
          <t>PC0001263218</t>
        </is>
      </c>
      <c r="I10" s="62" t="inlineStr">
        <is>
          <t>943452080399</t>
        </is>
      </c>
    </row>
    <row r="11">
      <c r="A11" s="4" t="inlineStr">
        <is>
          <t>11/10/25</t>
        </is>
      </c>
      <c r="B11" s="4" t="inlineStr">
        <is>
          <t>10/10/25</t>
        </is>
      </c>
      <c r="C11" s="62" t="inlineStr">
        <is>
          <t>Intl Card Networks</t>
        </is>
      </c>
      <c r="D11" s="5" t="n">
        <v>500</v>
      </c>
      <c r="E11" s="5" t="n">
        <v>13</v>
      </c>
      <c r="F11" s="5" t="n">
        <v>487</v>
      </c>
      <c r="G11" s="6" t="n">
        <v>1</v>
      </c>
      <c r="H11" s="62" t="inlineStr">
        <is>
          <t>PC0001263218</t>
        </is>
      </c>
      <c r="I11" s="62" t="inlineStr">
        <is>
          <t>945099205599</t>
        </is>
      </c>
    </row>
    <row r="12">
      <c r="A12" s="4" t="inlineStr">
        <is>
          <t>12/10/25</t>
        </is>
      </c>
      <c r="B12" s="4" t="inlineStr">
        <is>
          <t>11/10/25</t>
        </is>
      </c>
      <c r="C12" s="62" t="inlineStr">
        <is>
          <t>Intl Card Networks</t>
        </is>
      </c>
      <c r="D12" s="5" t="n">
        <v>1500</v>
      </c>
      <c r="E12" s="5" t="n">
        <v>39</v>
      </c>
      <c r="F12" s="5" t="n">
        <v>1461</v>
      </c>
      <c r="G12" s="6" t="n">
        <v>1</v>
      </c>
      <c r="H12" s="62" t="inlineStr">
        <is>
          <t>PC0001263218</t>
        </is>
      </c>
      <c r="I12" s="62" t="inlineStr">
        <is>
          <t>946810110199</t>
        </is>
      </c>
    </row>
    <row r="13">
      <c r="A13" s="4" t="inlineStr">
        <is>
          <t>13/10/25</t>
        </is>
      </c>
      <c r="B13" s="4" t="inlineStr">
        <is>
          <t>12/10/25</t>
        </is>
      </c>
      <c r="C13" s="62" t="inlineStr">
        <is>
          <t>Intl Card Networks</t>
        </is>
      </c>
      <c r="D13" s="5" t="n">
        <v>9900</v>
      </c>
      <c r="E13" s="5" t="n">
        <v>266.31</v>
      </c>
      <c r="F13" s="5" t="n">
        <v>9633.690000000001</v>
      </c>
      <c r="G13" s="6" t="n">
        <v>1</v>
      </c>
      <c r="H13" s="62" t="inlineStr">
        <is>
          <t>PC0001263218</t>
        </is>
      </c>
      <c r="I13" s="62" t="inlineStr">
        <is>
          <t>947915153699</t>
        </is>
      </c>
    </row>
    <row r="14">
      <c r="A14" s="4" t="inlineStr">
        <is>
          <t>14/10/25</t>
        </is>
      </c>
      <c r="B14" s="4" t="inlineStr">
        <is>
          <t>13/10/25</t>
        </is>
      </c>
      <c r="C14" s="62" t="inlineStr">
        <is>
          <t>Intl Card Networks</t>
        </is>
      </c>
      <c r="D14" s="5" t="n">
        <v>530</v>
      </c>
      <c r="E14" s="5" t="n">
        <v>13.78</v>
      </c>
      <c r="F14" s="5" t="n">
        <v>516.22</v>
      </c>
      <c r="G14" s="6" t="n">
        <v>1</v>
      </c>
      <c r="H14" s="62" t="inlineStr">
        <is>
          <t>PC0001263218</t>
        </is>
      </c>
      <c r="I14" s="62" t="inlineStr">
        <is>
          <t>949263764399</t>
        </is>
      </c>
    </row>
    <row r="15">
      <c r="A15" s="4" t="inlineStr">
        <is>
          <t>18/10/25</t>
        </is>
      </c>
      <c r="B15" s="4" t="inlineStr">
        <is>
          <t>17/10/25</t>
        </is>
      </c>
      <c r="C15" s="62" t="inlineStr">
        <is>
          <t>Intl Card Networks</t>
        </is>
      </c>
      <c r="D15" s="5" t="n">
        <v>780</v>
      </c>
      <c r="E15" s="5" t="n">
        <v>20.98</v>
      </c>
      <c r="F15" s="5" t="n">
        <v>759.02</v>
      </c>
      <c r="G15" s="6" t="n">
        <v>1</v>
      </c>
      <c r="H15" s="62" t="inlineStr">
        <is>
          <t>PC0001263218</t>
        </is>
      </c>
      <c r="I15" s="62" t="inlineStr">
        <is>
          <t>955359578499</t>
        </is>
      </c>
    </row>
    <row r="16">
      <c r="A16" s="4" t="inlineStr">
        <is>
          <t>20/10/25</t>
        </is>
      </c>
      <c r="B16" s="4" t="inlineStr">
        <is>
          <t>19/10/25</t>
        </is>
      </c>
      <c r="C16" s="62" t="inlineStr">
        <is>
          <t>Intl Card Networks</t>
        </is>
      </c>
      <c r="D16" s="5" t="n">
        <v>1332.52</v>
      </c>
      <c r="E16" s="5" t="n">
        <v>34.65</v>
      </c>
      <c r="F16" s="5" t="n">
        <v>1297.87</v>
      </c>
      <c r="G16" s="6" t="n">
        <v>1</v>
      </c>
      <c r="H16" s="62" t="inlineStr">
        <is>
          <t>PC0001263218</t>
        </is>
      </c>
      <c r="I16" s="62" t="inlineStr">
        <is>
          <t>958140909099</t>
        </is>
      </c>
    </row>
    <row r="17">
      <c r="A17" s="4" t="inlineStr">
        <is>
          <t>21/10/25</t>
        </is>
      </c>
      <c r="B17" s="4" t="inlineStr">
        <is>
          <t>20/10/25</t>
        </is>
      </c>
      <c r="C17" s="62" t="inlineStr">
        <is>
          <t>Intl Card Networks</t>
        </is>
      </c>
      <c r="D17" s="5" t="n">
        <v>1322.52</v>
      </c>
      <c r="E17" s="5" t="n">
        <v>34.39</v>
      </c>
      <c r="F17" s="5" t="n">
        <v>1288.13</v>
      </c>
      <c r="G17" s="6" t="n">
        <v>1</v>
      </c>
      <c r="H17" s="62" t="inlineStr">
        <is>
          <t>PC0001263218</t>
        </is>
      </c>
      <c r="I17" s="62" t="inlineStr">
        <is>
          <t>959463728299</t>
        </is>
      </c>
    </row>
    <row r="18">
      <c r="A18" s="4" t="inlineStr">
        <is>
          <t>23/10/25</t>
        </is>
      </c>
      <c r="B18" s="4" t="inlineStr">
        <is>
          <t>22/10/25</t>
        </is>
      </c>
      <c r="C18" s="62" t="inlineStr">
        <is>
          <t>Intl Card Networks</t>
        </is>
      </c>
      <c r="D18" s="5" t="n">
        <v>1035</v>
      </c>
      <c r="E18" s="5" t="n">
        <v>9.98</v>
      </c>
      <c r="F18" s="5" t="n">
        <v>1025.02</v>
      </c>
      <c r="G18" s="6" t="n">
        <v>2</v>
      </c>
      <c r="H18" s="62" t="inlineStr">
        <is>
          <t>PC0001263218</t>
        </is>
      </c>
      <c r="I18" s="62" t="inlineStr">
        <is>
          <t>962351297499</t>
        </is>
      </c>
    </row>
    <row r="19">
      <c r="A19" s="4" t="inlineStr">
        <is>
          <t>24/10/25</t>
        </is>
      </c>
      <c r="B19" s="4" t="inlineStr">
        <is>
          <t>23/10/25</t>
        </is>
      </c>
      <c r="C19" s="62" t="inlineStr">
        <is>
          <t>Intl Card Networks</t>
        </is>
      </c>
      <c r="D19" s="5" t="n">
        <v>7340</v>
      </c>
      <c r="E19" s="5" t="n">
        <v>190.84</v>
      </c>
      <c r="F19" s="5" t="n">
        <v>7149.16</v>
      </c>
      <c r="G19" s="6" t="n">
        <v>2</v>
      </c>
      <c r="H19" s="62" t="inlineStr">
        <is>
          <t>PC0001263218</t>
        </is>
      </c>
      <c r="I19" s="62" t="inlineStr">
        <is>
          <t>963795301999</t>
        </is>
      </c>
    </row>
    <row r="20">
      <c r="A20" s="4" t="inlineStr">
        <is>
          <t>26/10/25</t>
        </is>
      </c>
      <c r="B20" s="4" t="inlineStr">
        <is>
          <t>25/10/25</t>
        </is>
      </c>
      <c r="C20" s="62" t="inlineStr">
        <is>
          <t>Intl Card Networks</t>
        </is>
      </c>
      <c r="D20" s="5" t="n">
        <v>720</v>
      </c>
      <c r="E20" s="5" t="n">
        <v>18.72</v>
      </c>
      <c r="F20" s="5" t="n">
        <v>701.28</v>
      </c>
      <c r="G20" s="6" t="n">
        <v>1</v>
      </c>
      <c r="H20" s="62" t="inlineStr">
        <is>
          <t>PC0001263218</t>
        </is>
      </c>
      <c r="I20" s="62" t="inlineStr">
        <is>
          <t>967095312799</t>
        </is>
      </c>
    </row>
    <row r="21">
      <c r="A21" s="4" t="inlineStr">
        <is>
          <t>29/10/25</t>
        </is>
      </c>
      <c r="B21" s="4" t="inlineStr">
        <is>
          <t>28/10/25</t>
        </is>
      </c>
      <c r="C21" s="62" t="inlineStr">
        <is>
          <t>Intl Card Networks</t>
        </is>
      </c>
      <c r="D21" s="5" t="n">
        <v>1297</v>
      </c>
      <c r="E21" s="5" t="n">
        <v>32.19</v>
      </c>
      <c r="F21" s="5" t="n">
        <v>1264.81</v>
      </c>
      <c r="G21" s="6" t="n">
        <v>2</v>
      </c>
      <c r="H21" s="62" t="inlineStr">
        <is>
          <t>PC0001263218</t>
        </is>
      </c>
      <c r="I21" s="62" t="inlineStr">
        <is>
          <t>970977151899</t>
        </is>
      </c>
    </row>
    <row r="22">
      <c r="A22" s="4" t="inlineStr">
        <is>
          <t>01/11/25</t>
        </is>
      </c>
      <c r="B22" s="4" t="inlineStr">
        <is>
          <t>31/10/25</t>
        </is>
      </c>
      <c r="C22" s="62" t="inlineStr">
        <is>
          <t>Intl Card Networks</t>
        </is>
      </c>
      <c r="D22" s="5" t="n">
        <v>385</v>
      </c>
      <c r="E22" s="5" t="n">
        <v>10.01</v>
      </c>
      <c r="F22" s="5" t="n">
        <v>374.99</v>
      </c>
      <c r="G22" s="6" t="n">
        <v>1</v>
      </c>
      <c r="H22" s="62" t="inlineStr">
        <is>
          <t>PC0001263218</t>
        </is>
      </c>
      <c r="I22" s="62" t="inlineStr">
        <is>
          <t>976127417099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4"/>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22" customWidth="1" min="3" max="3"/>
    <col width="14" customWidth="1" min="4" max="4"/>
    <col width="12" customWidth="1" min="5" max="5"/>
    <col width="14" customWidth="1" min="6" max="6"/>
    <col width="8" customWidth="1" min="7" max="7"/>
    <col width="18" customWidth="1" min="8" max="8"/>
    <col width="18" customWidth="1" min="9" max="9"/>
  </cols>
  <sheetData>
    <row r="1">
      <c r="A1" s="1" t="inlineStr">
        <is>
          <t>Daily Detail – 2025-11</t>
        </is>
      </c>
    </row>
    <row r="2">
      <c r="A2" s="2" t="inlineStr">
        <is>
          <t>10 daily settlement rows from Estratto_conto_2025-11-30.pdf</t>
        </is>
      </c>
    </row>
    <row r="4">
      <c r="A4" s="3" t="inlineStr">
        <is>
          <t>Disposition Date</t>
        </is>
      </c>
      <c r="B4" s="3" t="inlineStr">
        <is>
          <t>Operation Date</t>
        </is>
      </c>
      <c r="C4" s="3" t="inlineStr">
        <is>
          <t>Type</t>
        </is>
      </c>
      <c r="D4" s="3" t="inlineStr">
        <is>
          <t>Gross (€)</t>
        </is>
      </c>
      <c r="E4" s="3" t="inlineStr">
        <is>
          <t>Fees (€)</t>
        </is>
      </c>
      <c r="F4" s="3" t="inlineStr">
        <is>
          <t>Net (€)</t>
        </is>
      </c>
      <c r="G4" s="3" t="inlineStr">
        <is>
          <t>Count</t>
        </is>
      </c>
      <c r="H4" s="3" t="inlineStr">
        <is>
          <t>Contract</t>
        </is>
      </c>
      <c r="I4" s="3" t="inlineStr">
        <is>
          <t>Ref ID</t>
        </is>
      </c>
    </row>
    <row r="5">
      <c r="A5" s="4" t="inlineStr">
        <is>
          <t>02/11/25</t>
        </is>
      </c>
      <c r="B5" s="4" t="inlineStr">
        <is>
          <t>01/11/25</t>
        </is>
      </c>
      <c r="C5" s="62" t="inlineStr">
        <is>
          <t>Intl Card Networks</t>
        </is>
      </c>
      <c r="D5" s="5" t="n">
        <v>8000</v>
      </c>
      <c r="E5" s="5" t="n">
        <v>208</v>
      </c>
      <c r="F5" s="5" t="n">
        <v>7792</v>
      </c>
      <c r="G5" s="6" t="n">
        <v>1</v>
      </c>
      <c r="H5" s="62" t="inlineStr">
        <is>
          <t>PC0001263218</t>
        </is>
      </c>
      <c r="I5" s="62" t="inlineStr">
        <is>
          <t>977700024299</t>
        </is>
      </c>
    </row>
    <row r="6">
      <c r="A6" s="4" t="inlineStr">
        <is>
          <t>03/11/25</t>
        </is>
      </c>
      <c r="B6" s="4" t="inlineStr">
        <is>
          <t>02/11/25</t>
        </is>
      </c>
      <c r="C6" s="62" t="inlineStr">
        <is>
          <t>Intl Card Networks</t>
        </is>
      </c>
      <c r="D6" s="5" t="n">
        <v>7000</v>
      </c>
      <c r="E6" s="5" t="n">
        <v>182</v>
      </c>
      <c r="F6" s="5" t="n">
        <v>6818</v>
      </c>
      <c r="G6" s="6" t="n">
        <v>1</v>
      </c>
      <c r="H6" s="62" t="inlineStr">
        <is>
          <t>PC0001263218</t>
        </is>
      </c>
      <c r="I6" s="62" t="inlineStr">
        <is>
          <t>978684936399</t>
        </is>
      </c>
    </row>
    <row r="7">
      <c r="A7" s="4" t="inlineStr">
        <is>
          <t>04/11/25</t>
        </is>
      </c>
      <c r="B7" s="4" t="inlineStr">
        <is>
          <t>03/11/25</t>
        </is>
      </c>
      <c r="C7" s="62" t="inlineStr">
        <is>
          <t>Intl Card Networks</t>
        </is>
      </c>
      <c r="D7" s="5" t="n">
        <v>10500</v>
      </c>
      <c r="E7" s="5" t="n">
        <v>282.45</v>
      </c>
      <c r="F7" s="5" t="n">
        <v>10217.55</v>
      </c>
      <c r="G7" s="6" t="n">
        <v>1</v>
      </c>
      <c r="H7" s="62" t="inlineStr">
        <is>
          <t>PC0001263218</t>
        </is>
      </c>
      <c r="I7" s="62" t="inlineStr">
        <is>
          <t>980026824799</t>
        </is>
      </c>
    </row>
    <row r="8">
      <c r="A8" s="4" t="inlineStr">
        <is>
          <t>05/11/25</t>
        </is>
      </c>
      <c r="B8" s="4" t="inlineStr">
        <is>
          <t>04/11/25</t>
        </is>
      </c>
      <c r="C8" s="62" t="inlineStr">
        <is>
          <t>Intl Card Networks</t>
        </is>
      </c>
      <c r="D8" s="5" t="n">
        <v>10250</v>
      </c>
      <c r="E8" s="5" t="n">
        <v>176.73</v>
      </c>
      <c r="F8" s="5" t="n">
        <v>10073.28</v>
      </c>
      <c r="G8" s="6" t="n">
        <v>2</v>
      </c>
      <c r="H8" s="62" t="inlineStr">
        <is>
          <t>PC0001263218</t>
        </is>
      </c>
      <c r="I8" s="62" t="inlineStr">
        <is>
          <t>981473458299</t>
        </is>
      </c>
    </row>
    <row r="9">
      <c r="A9" s="4" t="inlineStr">
        <is>
          <t>06/11/25</t>
        </is>
      </c>
      <c r="B9" s="4" t="inlineStr">
        <is>
          <t>05/11/25</t>
        </is>
      </c>
      <c r="C9" s="62" t="inlineStr">
        <is>
          <t>Intl Card Networks</t>
        </is>
      </c>
      <c r="D9" s="5" t="n">
        <v>2030</v>
      </c>
      <c r="E9" s="5" t="n">
        <v>54.61</v>
      </c>
      <c r="F9" s="5" t="n">
        <v>1975.39</v>
      </c>
      <c r="G9" s="6" t="n">
        <v>1</v>
      </c>
      <c r="H9" s="62" t="inlineStr">
        <is>
          <t>PC0001263218</t>
        </is>
      </c>
      <c r="I9" s="62" t="inlineStr">
        <is>
          <t>982917673699</t>
        </is>
      </c>
    </row>
    <row r="10">
      <c r="A10" s="4" t="inlineStr">
        <is>
          <t>08/11/25</t>
        </is>
      </c>
      <c r="B10" s="4" t="inlineStr">
        <is>
          <t>07/11/25</t>
        </is>
      </c>
      <c r="C10" s="62" t="inlineStr">
        <is>
          <t>Intl Card Networks</t>
        </is>
      </c>
      <c r="D10" s="5" t="n">
        <v>500</v>
      </c>
      <c r="E10" s="5" t="n">
        <v>4.45</v>
      </c>
      <c r="F10" s="5" t="n">
        <v>495.55</v>
      </c>
      <c r="G10" s="6" t="n">
        <v>1</v>
      </c>
      <c r="H10" s="62" t="inlineStr">
        <is>
          <t>PC0001263218</t>
        </is>
      </c>
      <c r="I10" s="62" t="inlineStr">
        <is>
          <t>985947034299</t>
        </is>
      </c>
    </row>
    <row r="11">
      <c r="A11" s="4" t="inlineStr">
        <is>
          <t>11/11/25</t>
        </is>
      </c>
      <c r="B11" s="4" t="inlineStr">
        <is>
          <t>10/11/25</t>
        </is>
      </c>
      <c r="C11" s="62" t="inlineStr">
        <is>
          <t>Intl Card Networks</t>
        </is>
      </c>
      <c r="D11" s="5" t="n">
        <v>33072</v>
      </c>
      <c r="E11" s="5" t="n">
        <v>859.87</v>
      </c>
      <c r="F11" s="5" t="n">
        <v>32212.13</v>
      </c>
      <c r="G11" s="6" t="n">
        <v>2</v>
      </c>
      <c r="H11" s="62" t="inlineStr">
        <is>
          <t>PC0001263218</t>
        </is>
      </c>
      <c r="I11" s="62" t="inlineStr">
        <is>
          <t>989910589999</t>
        </is>
      </c>
    </row>
    <row r="12">
      <c r="A12" s="4" t="inlineStr">
        <is>
          <t>19/11/25</t>
        </is>
      </c>
      <c r="B12" s="4" t="inlineStr">
        <is>
          <t>18/11/25</t>
        </is>
      </c>
      <c r="C12" s="62" t="inlineStr">
        <is>
          <t>Intl Card Networks</t>
        </is>
      </c>
      <c r="D12" s="5" t="n">
        <v>53369.5</v>
      </c>
      <c r="E12" s="5" t="n">
        <v>1387.61</v>
      </c>
      <c r="F12" s="5" t="n">
        <v>51981.89</v>
      </c>
      <c r="G12" s="6" t="n">
        <v>1</v>
      </c>
      <c r="H12" s="62" t="inlineStr">
        <is>
          <t>PC0001263218</t>
        </is>
      </c>
      <c r="I12" s="62" t="inlineStr">
        <is>
          <t>1001091686699</t>
        </is>
      </c>
    </row>
    <row r="13">
      <c r="A13" s="4" t="inlineStr">
        <is>
          <t>20/11/25</t>
        </is>
      </c>
      <c r="B13" s="4" t="inlineStr">
        <is>
          <t>19/11/25</t>
        </is>
      </c>
      <c r="C13" s="62" t="inlineStr">
        <is>
          <t>Intl Card Networks</t>
        </is>
      </c>
      <c r="D13" s="5" t="n">
        <v>44607</v>
      </c>
      <c r="E13" s="5" t="n">
        <v>1159.78</v>
      </c>
      <c r="F13" s="5" t="n">
        <v>43447.22</v>
      </c>
      <c r="G13" s="6" t="n">
        <v>1</v>
      </c>
      <c r="H13" s="62" t="inlineStr">
        <is>
          <t>PC0001263218</t>
        </is>
      </c>
      <c r="I13" s="62" t="inlineStr">
        <is>
          <t>1002521278999</t>
        </is>
      </c>
    </row>
    <row r="14">
      <c r="A14" s="4" t="inlineStr">
        <is>
          <t>26/11/25</t>
        </is>
      </c>
      <c r="B14" s="4" t="inlineStr">
        <is>
          <t>25/11/25</t>
        </is>
      </c>
      <c r="C14" s="62" t="inlineStr">
        <is>
          <t>Intl Card Networks</t>
        </is>
      </c>
      <c r="D14" s="5" t="n">
        <v>37900</v>
      </c>
      <c r="E14" s="5" t="n">
        <v>1019.51</v>
      </c>
      <c r="F14" s="5" t="n">
        <v>36880.49</v>
      </c>
      <c r="G14" s="6" t="n">
        <v>1</v>
      </c>
      <c r="H14" s="62" t="inlineStr">
        <is>
          <t>PC0001263218</t>
        </is>
      </c>
      <c r="I14" s="62" t="inlineStr">
        <is>
          <t>1010807627199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7"/>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22" customWidth="1" min="3" max="3"/>
    <col width="14" customWidth="1" min="4" max="4"/>
    <col width="12" customWidth="1" min="5" max="5"/>
    <col width="14" customWidth="1" min="6" max="6"/>
    <col width="8" customWidth="1" min="7" max="7"/>
    <col width="18" customWidth="1" min="8" max="8"/>
    <col width="18" customWidth="1" min="9" max="9"/>
  </cols>
  <sheetData>
    <row r="1">
      <c r="A1" s="1" t="inlineStr">
        <is>
          <t>Daily Detail – 2025-12</t>
        </is>
      </c>
    </row>
    <row r="2">
      <c r="A2" s="2" t="inlineStr">
        <is>
          <t>13 daily settlement rows from Estratto_conto_2025-12-31.pdf</t>
        </is>
      </c>
    </row>
    <row r="4">
      <c r="A4" s="3" t="inlineStr">
        <is>
          <t>Disposition Date</t>
        </is>
      </c>
      <c r="B4" s="3" t="inlineStr">
        <is>
          <t>Operation Date</t>
        </is>
      </c>
      <c r="C4" s="3" t="inlineStr">
        <is>
          <t>Type</t>
        </is>
      </c>
      <c r="D4" s="3" t="inlineStr">
        <is>
          <t>Gross (€)</t>
        </is>
      </c>
      <c r="E4" s="3" t="inlineStr">
        <is>
          <t>Fees (€)</t>
        </is>
      </c>
      <c r="F4" s="3" t="inlineStr">
        <is>
          <t>Net (€)</t>
        </is>
      </c>
      <c r="G4" s="3" t="inlineStr">
        <is>
          <t>Count</t>
        </is>
      </c>
      <c r="H4" s="3" t="inlineStr">
        <is>
          <t>Contract</t>
        </is>
      </c>
      <c r="I4" s="3" t="inlineStr">
        <is>
          <t>Ref ID</t>
        </is>
      </c>
    </row>
    <row r="5">
      <c r="A5" s="4" t="inlineStr">
        <is>
          <t>07/12/25</t>
        </is>
      </c>
      <c r="B5" s="4" t="inlineStr">
        <is>
          <t>06/12/25</t>
        </is>
      </c>
      <c r="C5" s="62" t="inlineStr">
        <is>
          <t>Intl Card Networks</t>
        </is>
      </c>
      <c r="D5" s="5" t="n">
        <v>1850</v>
      </c>
      <c r="E5" s="5" t="n">
        <v>48.1</v>
      </c>
      <c r="F5" s="5" t="n">
        <v>1801.9</v>
      </c>
      <c r="G5" s="6" t="n">
        <v>1</v>
      </c>
      <c r="H5" s="62" t="inlineStr">
        <is>
          <t>PC0001263218</t>
        </is>
      </c>
      <c r="I5" s="62" t="inlineStr">
        <is>
          <t>1028173594299</t>
        </is>
      </c>
    </row>
    <row r="6">
      <c r="A6" s="4" t="inlineStr">
        <is>
          <t>09/12/25</t>
        </is>
      </c>
      <c r="B6" s="4" t="inlineStr">
        <is>
          <t>08/12/25</t>
        </is>
      </c>
      <c r="C6" s="62" t="inlineStr">
        <is>
          <t>Intl Card Networks</t>
        </is>
      </c>
      <c r="D6" s="5" t="n">
        <v>107500</v>
      </c>
      <c r="E6" s="5" t="n">
        <v>2795</v>
      </c>
      <c r="F6" s="5" t="n">
        <v>104705</v>
      </c>
      <c r="G6" s="6" t="n">
        <v>1</v>
      </c>
      <c r="H6" s="62" t="inlineStr">
        <is>
          <t>PC0001263218</t>
        </is>
      </c>
      <c r="I6" s="62" t="inlineStr">
        <is>
          <t>1030445765799</t>
        </is>
      </c>
    </row>
    <row r="7">
      <c r="A7" s="4" t="inlineStr">
        <is>
          <t>10/12/25</t>
        </is>
      </c>
      <c r="B7" s="4" t="inlineStr">
        <is>
          <t>09/12/25</t>
        </is>
      </c>
      <c r="C7" s="62" t="inlineStr">
        <is>
          <t>Intl Card Networks</t>
        </is>
      </c>
      <c r="D7" s="5" t="n">
        <v>540</v>
      </c>
      <c r="E7" s="5" t="n">
        <v>14.04</v>
      </c>
      <c r="F7" s="5" t="n">
        <v>525.96</v>
      </c>
      <c r="G7" s="6" t="n">
        <v>1</v>
      </c>
      <c r="H7" s="62" t="inlineStr">
        <is>
          <t>PC0001263218</t>
        </is>
      </c>
      <c r="I7" s="62" t="inlineStr">
        <is>
          <t>1031916364399</t>
        </is>
      </c>
    </row>
    <row r="8">
      <c r="A8" s="4" t="inlineStr">
        <is>
          <t>13/12/25</t>
        </is>
      </c>
      <c r="B8" s="4" t="inlineStr">
        <is>
          <t>12/12/25</t>
        </is>
      </c>
      <c r="C8" s="62" t="inlineStr">
        <is>
          <t>Intl Card Networks</t>
        </is>
      </c>
      <c r="D8" s="5" t="n">
        <v>650</v>
      </c>
      <c r="E8" s="5" t="n">
        <v>16.9</v>
      </c>
      <c r="F8" s="5" t="n">
        <v>633.1</v>
      </c>
      <c r="G8" s="6" t="n">
        <v>1</v>
      </c>
      <c r="H8" s="62" t="inlineStr">
        <is>
          <t>PC0001263218</t>
        </is>
      </c>
      <c r="I8" s="62" t="inlineStr">
        <is>
          <t>1036431848699</t>
        </is>
      </c>
    </row>
    <row r="9">
      <c r="A9" s="4" t="inlineStr">
        <is>
          <t>14/12/25</t>
        </is>
      </c>
      <c r="B9" s="4" t="inlineStr">
        <is>
          <t>13/12/25</t>
        </is>
      </c>
      <c r="C9" s="62" t="inlineStr">
        <is>
          <t>Intl Card Networks</t>
        </is>
      </c>
      <c r="D9" s="5" t="n">
        <v>580</v>
      </c>
      <c r="E9" s="5" t="n">
        <v>15.08</v>
      </c>
      <c r="F9" s="5" t="n">
        <v>564.92</v>
      </c>
      <c r="G9" s="6" t="n">
        <v>1</v>
      </c>
      <c r="H9" s="62" t="inlineStr">
        <is>
          <t>PC0001263218</t>
        </is>
      </c>
      <c r="I9" s="62" t="inlineStr">
        <is>
          <t>1038442189399</t>
        </is>
      </c>
    </row>
    <row r="10">
      <c r="A10" s="4" t="inlineStr">
        <is>
          <t>15/12/25</t>
        </is>
      </c>
      <c r="B10" s="4" t="inlineStr">
        <is>
          <t>14/12/25</t>
        </is>
      </c>
      <c r="C10" s="62" t="inlineStr">
        <is>
          <t>Intl Card Networks</t>
        </is>
      </c>
      <c r="D10" s="5" t="n">
        <v>19800</v>
      </c>
      <c r="E10" s="5" t="n">
        <v>532.62</v>
      </c>
      <c r="F10" s="5" t="n">
        <v>19267.38</v>
      </c>
      <c r="G10" s="6" t="n">
        <v>1</v>
      </c>
      <c r="H10" s="62" t="inlineStr">
        <is>
          <t>PC0001263218</t>
        </is>
      </c>
      <c r="I10" s="62" t="inlineStr">
        <is>
          <t>1039637469399</t>
        </is>
      </c>
    </row>
    <row r="11">
      <c r="A11" s="4" t="inlineStr">
        <is>
          <t>16/12/25</t>
        </is>
      </c>
      <c r="B11" s="4" t="inlineStr">
        <is>
          <t>15/12/25</t>
        </is>
      </c>
      <c r="C11" s="62" t="inlineStr">
        <is>
          <t>Intl Card Networks</t>
        </is>
      </c>
      <c r="D11" s="5" t="n">
        <v>12000</v>
      </c>
      <c r="E11" s="5" t="n">
        <v>322.8</v>
      </c>
      <c r="F11" s="5" t="n">
        <v>11677.2</v>
      </c>
      <c r="G11" s="6" t="n">
        <v>1</v>
      </c>
      <c r="H11" s="62" t="inlineStr">
        <is>
          <t>PC0001263218</t>
        </is>
      </c>
      <c r="I11" s="62" t="inlineStr">
        <is>
          <t>1041096293599</t>
        </is>
      </c>
    </row>
    <row r="12">
      <c r="A12" s="4" t="inlineStr">
        <is>
          <t>20/12/25</t>
        </is>
      </c>
      <c r="B12" s="4" t="inlineStr">
        <is>
          <t>19/12/25</t>
        </is>
      </c>
      <c r="C12" s="62" t="inlineStr">
        <is>
          <t>Intl Card Networks</t>
        </is>
      </c>
      <c r="D12" s="5" t="n">
        <v>5367</v>
      </c>
      <c r="E12" s="5" t="n">
        <v>139.54</v>
      </c>
      <c r="F12" s="5" t="n">
        <v>5227.46</v>
      </c>
      <c r="G12" s="6" t="n">
        <v>2</v>
      </c>
      <c r="H12" s="62" t="inlineStr">
        <is>
          <t>PC0001263218</t>
        </is>
      </c>
      <c r="I12" s="62" t="inlineStr">
        <is>
          <t>1047784565999</t>
        </is>
      </c>
    </row>
    <row r="13">
      <c r="A13" s="4" t="inlineStr">
        <is>
          <t>23/12/25</t>
        </is>
      </c>
      <c r="B13" s="4" t="inlineStr">
        <is>
          <t>22/12/25</t>
        </is>
      </c>
      <c r="C13" s="62" t="inlineStr">
        <is>
          <t>Intl Card Networks</t>
        </is>
      </c>
      <c r="D13" s="5" t="n">
        <v>18625</v>
      </c>
      <c r="E13" s="5" t="n">
        <v>501.01</v>
      </c>
      <c r="F13" s="5" t="n">
        <v>18123.99</v>
      </c>
      <c r="G13" s="6" t="n">
        <v>2</v>
      </c>
      <c r="H13" s="62" t="inlineStr">
        <is>
          <t>PC0001263218</t>
        </is>
      </c>
      <c r="I13" s="62" t="inlineStr">
        <is>
          <t>1052878882299</t>
        </is>
      </c>
    </row>
    <row r="14">
      <c r="A14" s="66" t="inlineStr">
        <is>
          <t>25/12/25</t>
        </is>
      </c>
      <c r="B14" s="66" t="inlineStr">
        <is>
          <t>24/12/25</t>
        </is>
      </c>
      <c r="C14" s="67" t="inlineStr">
        <is>
          <t>Intl Card Networks</t>
        </is>
      </c>
      <c r="D14" s="68" t="n">
        <v>-1050</v>
      </c>
      <c r="E14" s="68" t="n">
        <v>-206.85</v>
      </c>
      <c r="F14" s="68" t="n">
        <v>-843.15</v>
      </c>
      <c r="G14" s="69" t="n">
        <v>4</v>
      </c>
      <c r="H14" s="67" t="inlineStr">
        <is>
          <t>PC0001263218</t>
        </is>
      </c>
      <c r="I14" s="67" t="inlineStr">
        <is>
          <t>1056595429699</t>
        </is>
      </c>
    </row>
    <row r="15">
      <c r="A15" s="4" t="inlineStr">
        <is>
          <t>26/12/25</t>
        </is>
      </c>
      <c r="B15" s="4" t="inlineStr">
        <is>
          <t>25/12/25</t>
        </is>
      </c>
      <c r="C15" s="62" t="inlineStr">
        <is>
          <t>Intl Card Networks</t>
        </is>
      </c>
      <c r="D15" s="5" t="n">
        <v>2060</v>
      </c>
      <c r="E15" s="5" t="n">
        <v>18.33</v>
      </c>
      <c r="F15" s="5" t="n">
        <v>2041.67</v>
      </c>
      <c r="G15" s="6" t="n">
        <v>1</v>
      </c>
      <c r="H15" s="62" t="inlineStr">
        <is>
          <t>PC0001263218</t>
        </is>
      </c>
      <c r="I15" s="62" t="inlineStr">
        <is>
          <t>1057226100399</t>
        </is>
      </c>
    </row>
    <row r="16">
      <c r="A16" s="4" t="inlineStr">
        <is>
          <t>27/12/25</t>
        </is>
      </c>
      <c r="B16" s="4" t="inlineStr">
        <is>
          <t>26/12/25</t>
        </is>
      </c>
      <c r="C16" s="62" t="inlineStr">
        <is>
          <t>Intl Card Networks</t>
        </is>
      </c>
      <c r="D16" s="5" t="n">
        <v>2585</v>
      </c>
      <c r="E16" s="5" t="n">
        <v>67.20999999999999</v>
      </c>
      <c r="F16" s="5" t="n">
        <v>2517.79</v>
      </c>
      <c r="G16" s="6" t="n">
        <v>1</v>
      </c>
      <c r="H16" s="62" t="inlineStr">
        <is>
          <t>PC0001263218</t>
        </is>
      </c>
      <c r="I16" s="62" t="inlineStr">
        <is>
          <t>1057836110199</t>
        </is>
      </c>
    </row>
    <row r="17">
      <c r="A17" s="4" t="inlineStr">
        <is>
          <t>01/01/26</t>
        </is>
      </c>
      <c r="B17" s="4" t="inlineStr">
        <is>
          <t>31/12/25</t>
        </is>
      </c>
      <c r="C17" s="62" t="inlineStr">
        <is>
          <t>Intl Card Networks</t>
        </is>
      </c>
      <c r="D17" s="5" t="n">
        <v>6890</v>
      </c>
      <c r="E17" s="5" t="n">
        <v>179.14</v>
      </c>
      <c r="F17" s="5" t="n">
        <v>6710.86</v>
      </c>
      <c r="G17" s="6" t="n">
        <v>1</v>
      </c>
      <c r="H17" s="62" t="inlineStr">
        <is>
          <t>PC0001263218</t>
        </is>
      </c>
      <c r="I17" s="62" t="inlineStr">
        <is>
          <t>1065386703999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0"/>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22" customWidth="1" min="3" max="3"/>
    <col width="14" customWidth="1" min="4" max="4"/>
    <col width="12" customWidth="1" min="5" max="5"/>
    <col width="14" customWidth="1" min="6" max="6"/>
    <col width="8" customWidth="1" min="7" max="7"/>
    <col width="18" customWidth="1" min="8" max="8"/>
    <col width="18" customWidth="1" min="9" max="9"/>
  </cols>
  <sheetData>
    <row r="1">
      <c r="A1" s="1" t="inlineStr">
        <is>
          <t>Daily Detail – 2026-01</t>
        </is>
      </c>
    </row>
    <row r="2">
      <c r="A2" s="2" t="inlineStr">
        <is>
          <t>16 daily settlement rows from Estratto conto Gennaio 2026.pdf</t>
        </is>
      </c>
    </row>
    <row r="4">
      <c r="A4" s="3" t="inlineStr">
        <is>
          <t>Disposition Date</t>
        </is>
      </c>
      <c r="B4" s="3" t="inlineStr">
        <is>
          <t>Operation Date</t>
        </is>
      </c>
      <c r="C4" s="3" t="inlineStr">
        <is>
          <t>Type</t>
        </is>
      </c>
      <c r="D4" s="3" t="inlineStr">
        <is>
          <t>Gross (€)</t>
        </is>
      </c>
      <c r="E4" s="3" t="inlineStr">
        <is>
          <t>Fees (€)</t>
        </is>
      </c>
      <c r="F4" s="3" t="inlineStr">
        <is>
          <t>Net (€)</t>
        </is>
      </c>
      <c r="G4" s="3" t="inlineStr">
        <is>
          <t>Count</t>
        </is>
      </c>
      <c r="H4" s="3" t="inlineStr">
        <is>
          <t>Contract</t>
        </is>
      </c>
      <c r="I4" s="3" t="inlineStr">
        <is>
          <t>Ref ID</t>
        </is>
      </c>
    </row>
    <row r="5">
      <c r="A5" s="4" t="inlineStr">
        <is>
          <t>03/01/26</t>
        </is>
      </c>
      <c r="B5" s="4" t="inlineStr">
        <is>
          <t>02/01/26</t>
        </is>
      </c>
      <c r="C5" s="62" t="inlineStr">
        <is>
          <t>Intl Card Networks</t>
        </is>
      </c>
      <c r="D5" s="5" t="n">
        <v>250</v>
      </c>
      <c r="E5" s="5" t="n">
        <v>2.23</v>
      </c>
      <c r="F5" s="5" t="n">
        <v>247.78</v>
      </c>
      <c r="G5" s="6" t="n">
        <v>1</v>
      </c>
      <c r="H5" s="62" t="inlineStr">
        <is>
          <t>PC0001263218</t>
        </is>
      </c>
      <c r="I5" s="62" t="inlineStr">
        <is>
          <t>1067566077799</t>
        </is>
      </c>
    </row>
    <row r="6">
      <c r="A6" s="4" t="inlineStr">
        <is>
          <t>04/01/26</t>
        </is>
      </c>
      <c r="B6" s="4" t="inlineStr">
        <is>
          <t>03/01/26</t>
        </is>
      </c>
      <c r="C6" s="62" t="inlineStr">
        <is>
          <t>Intl Card Networks</t>
        </is>
      </c>
      <c r="D6" s="5" t="n">
        <v>198</v>
      </c>
      <c r="E6" s="5" t="n">
        <v>5.15</v>
      </c>
      <c r="F6" s="5" t="n">
        <v>192.85</v>
      </c>
      <c r="G6" s="6" t="n">
        <v>1</v>
      </c>
      <c r="H6" s="62" t="inlineStr">
        <is>
          <t>PC0001263218</t>
        </is>
      </c>
      <c r="I6" s="62" t="inlineStr">
        <is>
          <t>1069031281799</t>
        </is>
      </c>
    </row>
    <row r="7">
      <c r="A7" s="4" t="inlineStr">
        <is>
          <t>08/01/26</t>
        </is>
      </c>
      <c r="B7" s="4" t="inlineStr">
        <is>
          <t>07/01/26</t>
        </is>
      </c>
      <c r="C7" s="62" t="inlineStr">
        <is>
          <t>Intl Card Networks</t>
        </is>
      </c>
      <c r="D7" s="5" t="n">
        <v>1350</v>
      </c>
      <c r="E7" s="5" t="n">
        <v>35.8</v>
      </c>
      <c r="F7" s="5" t="n">
        <v>1314.2</v>
      </c>
      <c r="G7" s="6" t="n">
        <v>2</v>
      </c>
      <c r="H7" s="62" t="inlineStr">
        <is>
          <t>PC0001263218</t>
        </is>
      </c>
      <c r="I7" s="62" t="inlineStr">
        <is>
          <t>1073603150299</t>
        </is>
      </c>
    </row>
    <row r="8">
      <c r="A8" s="4" t="inlineStr">
        <is>
          <t>09/01/26</t>
        </is>
      </c>
      <c r="B8" s="4" t="inlineStr">
        <is>
          <t>08/01/26</t>
        </is>
      </c>
      <c r="C8" s="62" t="inlineStr">
        <is>
          <t>Intl Card Networks</t>
        </is>
      </c>
      <c r="D8" s="5" t="n">
        <v>792</v>
      </c>
      <c r="E8" s="5" t="n">
        <v>21.3</v>
      </c>
      <c r="F8" s="5" t="n">
        <v>770.7</v>
      </c>
      <c r="G8" s="6" t="n">
        <v>1</v>
      </c>
      <c r="H8" s="62" t="inlineStr">
        <is>
          <t>PC0001263218</t>
        </is>
      </c>
      <c r="I8" s="62" t="inlineStr">
        <is>
          <t>1074967623299</t>
        </is>
      </c>
    </row>
    <row r="9">
      <c r="A9" s="66" t="inlineStr">
        <is>
          <t>10/01/26</t>
        </is>
      </c>
      <c r="B9" s="66" t="inlineStr">
        <is>
          <t>09/01/26</t>
        </is>
      </c>
      <c r="C9" s="67" t="inlineStr">
        <is>
          <t>Intl Card Networks</t>
        </is>
      </c>
      <c r="D9" s="68" t="n">
        <v>-250</v>
      </c>
      <c r="E9" s="68" t="n">
        <v>-2.23</v>
      </c>
      <c r="F9" s="68" t="n">
        <v>-247.78</v>
      </c>
      <c r="G9" s="69" t="n">
        <v>1</v>
      </c>
      <c r="H9" s="67" t="inlineStr">
        <is>
          <t>PC0001263218</t>
        </is>
      </c>
      <c r="I9" s="67" t="inlineStr">
        <is>
          <t>1076422105899</t>
        </is>
      </c>
    </row>
    <row r="10">
      <c r="A10" s="4" t="inlineStr">
        <is>
          <t>12/01/26</t>
        </is>
      </c>
      <c r="B10" s="4" t="inlineStr">
        <is>
          <t>11/01/26</t>
        </is>
      </c>
      <c r="C10" s="62" t="inlineStr">
        <is>
          <t>Intl Card Networks</t>
        </is>
      </c>
      <c r="D10" s="5" t="n">
        <v>31300</v>
      </c>
      <c r="E10" s="5" t="n">
        <v>841.97</v>
      </c>
      <c r="F10" s="5" t="n">
        <v>30458.03</v>
      </c>
      <c r="G10" s="6" t="n">
        <v>1</v>
      </c>
      <c r="H10" s="62" t="inlineStr">
        <is>
          <t>PC0001263218</t>
        </is>
      </c>
      <c r="I10" s="62" t="inlineStr">
        <is>
          <t>1078869162599</t>
        </is>
      </c>
    </row>
    <row r="11">
      <c r="A11" s="4" t="inlineStr">
        <is>
          <t>14/01/26</t>
        </is>
      </c>
      <c r="B11" s="4" t="inlineStr">
        <is>
          <t>13/01/26</t>
        </is>
      </c>
      <c r="C11" s="62" t="inlineStr">
        <is>
          <t>Intl Card Networks</t>
        </is>
      </c>
      <c r="D11" s="5" t="n">
        <v>972</v>
      </c>
      <c r="E11" s="5" t="n">
        <v>26.68</v>
      </c>
      <c r="F11" s="5" t="n">
        <v>945.3200000000001</v>
      </c>
      <c r="G11" s="6" t="n">
        <v>3</v>
      </c>
      <c r="H11" s="62" t="inlineStr">
        <is>
          <t>PC0001263218</t>
        </is>
      </c>
      <c r="I11" s="62" t="inlineStr">
        <is>
          <t>1081512999899</t>
        </is>
      </c>
    </row>
    <row r="12">
      <c r="A12" s="4" t="inlineStr">
        <is>
          <t>15/01/26</t>
        </is>
      </c>
      <c r="B12" s="4" t="inlineStr">
        <is>
          <t>14/01/26</t>
        </is>
      </c>
      <c r="C12" s="62" t="inlineStr">
        <is>
          <t>Intl Card Networks</t>
        </is>
      </c>
      <c r="D12" s="5" t="n">
        <v>46848</v>
      </c>
      <c r="E12" s="5" t="n">
        <v>1218.05</v>
      </c>
      <c r="F12" s="5" t="n">
        <v>45629.95</v>
      </c>
      <c r="G12" s="6" t="n">
        <v>2</v>
      </c>
      <c r="H12" s="62" t="inlineStr">
        <is>
          <t>PC0001263218</t>
        </is>
      </c>
      <c r="I12" s="62" t="inlineStr">
        <is>
          <t>1082917443699</t>
        </is>
      </c>
    </row>
    <row r="13">
      <c r="A13" s="4" t="inlineStr">
        <is>
          <t>17/01/26</t>
        </is>
      </c>
      <c r="B13" s="4" t="inlineStr">
        <is>
          <t>16/01/26</t>
        </is>
      </c>
      <c r="C13" s="62" t="inlineStr">
        <is>
          <t>Intl Card Networks</t>
        </is>
      </c>
      <c r="D13" s="5" t="n">
        <v>800</v>
      </c>
      <c r="E13" s="5" t="n">
        <v>20.8</v>
      </c>
      <c r="F13" s="5" t="n">
        <v>779.2</v>
      </c>
      <c r="G13" s="6" t="n">
        <v>1</v>
      </c>
      <c r="H13" s="62" t="inlineStr">
        <is>
          <t>PC0001263218</t>
        </is>
      </c>
      <c r="I13" s="62" t="inlineStr">
        <is>
          <t>1085861407399</t>
        </is>
      </c>
    </row>
    <row r="14">
      <c r="A14" s="4" t="inlineStr">
        <is>
          <t>21/01/26</t>
        </is>
      </c>
      <c r="B14" s="4" t="inlineStr">
        <is>
          <t>20/01/26</t>
        </is>
      </c>
      <c r="C14" s="62" t="inlineStr">
        <is>
          <t>Intl Card Networks</t>
        </is>
      </c>
      <c r="D14" s="5" t="n">
        <v>380</v>
      </c>
      <c r="E14" s="5" t="n">
        <v>9.880000000000001</v>
      </c>
      <c r="F14" s="5" t="n">
        <v>370.12</v>
      </c>
      <c r="G14" s="6" t="n">
        <v>1</v>
      </c>
      <c r="H14" s="62" t="inlineStr">
        <is>
          <t>PC0001263218</t>
        </is>
      </c>
      <c r="I14" s="62" t="inlineStr">
        <is>
          <t>1090962652699</t>
        </is>
      </c>
    </row>
    <row r="15">
      <c r="A15" s="4" t="inlineStr">
        <is>
          <t>22/01/26</t>
        </is>
      </c>
      <c r="B15" s="4" t="inlineStr">
        <is>
          <t>21/01/26</t>
        </is>
      </c>
      <c r="C15" s="62" t="inlineStr">
        <is>
          <t>Intl Card Networks</t>
        </is>
      </c>
      <c r="D15" s="5" t="n">
        <v>440</v>
      </c>
      <c r="E15" s="5" t="n">
        <v>11.84</v>
      </c>
      <c r="F15" s="5" t="n">
        <v>428.16</v>
      </c>
      <c r="G15" s="6" t="n">
        <v>1</v>
      </c>
      <c r="H15" s="62" t="inlineStr">
        <is>
          <t>PC0001263218</t>
        </is>
      </c>
      <c r="I15" s="62" t="inlineStr">
        <is>
          <t>1092359232999</t>
        </is>
      </c>
    </row>
    <row r="16">
      <c r="A16" s="4" t="inlineStr">
        <is>
          <t>23/01/26</t>
        </is>
      </c>
      <c r="B16" s="4" t="inlineStr">
        <is>
          <t>22/01/26</t>
        </is>
      </c>
      <c r="C16" s="62" t="inlineStr">
        <is>
          <t>Intl Card Networks</t>
        </is>
      </c>
      <c r="D16" s="5" t="n">
        <v>1098</v>
      </c>
      <c r="E16" s="5" t="n">
        <v>29.54</v>
      </c>
      <c r="F16" s="5" t="n">
        <v>1068.46</v>
      </c>
      <c r="G16" s="6" t="n">
        <v>2</v>
      </c>
      <c r="H16" s="62" t="inlineStr">
        <is>
          <t>PC0001263218</t>
        </is>
      </c>
      <c r="I16" s="62" t="inlineStr">
        <is>
          <t>1093810422499</t>
        </is>
      </c>
    </row>
    <row r="17">
      <c r="A17" s="4" t="inlineStr">
        <is>
          <t>24/01/26</t>
        </is>
      </c>
      <c r="B17" s="4" t="inlineStr">
        <is>
          <t>23/01/26</t>
        </is>
      </c>
      <c r="C17" s="62" t="inlineStr">
        <is>
          <t>Intl Card Networks</t>
        </is>
      </c>
      <c r="D17" s="5" t="n">
        <v>600</v>
      </c>
      <c r="E17" s="5" t="n">
        <v>5.34</v>
      </c>
      <c r="F17" s="5" t="n">
        <v>594.66</v>
      </c>
      <c r="G17" s="6" t="n">
        <v>1</v>
      </c>
      <c r="H17" s="62" t="inlineStr">
        <is>
          <t>PC0001263218</t>
        </is>
      </c>
      <c r="I17" s="62" t="inlineStr">
        <is>
          <t>1095359016299</t>
        </is>
      </c>
    </row>
    <row r="18">
      <c r="A18" s="4" t="inlineStr">
        <is>
          <t>30/01/26</t>
        </is>
      </c>
      <c r="B18" s="4" t="inlineStr">
        <is>
          <t>29/01/26</t>
        </is>
      </c>
      <c r="C18" s="62" t="inlineStr">
        <is>
          <t>Intl Card Networks</t>
        </is>
      </c>
      <c r="D18" s="5" t="n">
        <v>11475</v>
      </c>
      <c r="E18" s="5" t="n">
        <v>298.35</v>
      </c>
      <c r="F18" s="5" t="n">
        <v>11176.65</v>
      </c>
      <c r="G18" s="6" t="n">
        <v>1</v>
      </c>
      <c r="H18" s="62" t="inlineStr">
        <is>
          <t>PC0001263218</t>
        </is>
      </c>
      <c r="I18" s="62" t="inlineStr">
        <is>
          <t>1103351707199</t>
        </is>
      </c>
    </row>
    <row r="19">
      <c r="A19" s="4" t="inlineStr">
        <is>
          <t>31/01/26</t>
        </is>
      </c>
      <c r="B19" s="4" t="inlineStr">
        <is>
          <t>30/01/26</t>
        </is>
      </c>
      <c r="C19" s="62" t="inlineStr">
        <is>
          <t>Intl Card Networks</t>
        </is>
      </c>
      <c r="D19" s="5" t="n">
        <v>2220</v>
      </c>
      <c r="E19" s="5" t="n">
        <v>59.72</v>
      </c>
      <c r="F19" s="5" t="n">
        <v>2160.28</v>
      </c>
      <c r="G19" s="6" t="n">
        <v>1</v>
      </c>
      <c r="H19" s="62" t="inlineStr">
        <is>
          <t>PC0001263218</t>
        </is>
      </c>
      <c r="I19" s="62" t="inlineStr">
        <is>
          <t>1104892837899</t>
        </is>
      </c>
    </row>
    <row r="20">
      <c r="A20" s="4" t="inlineStr">
        <is>
          <t>01/02/26</t>
        </is>
      </c>
      <c r="B20" s="4" t="inlineStr">
        <is>
          <t>31/01/26</t>
        </is>
      </c>
      <c r="C20" s="62" t="inlineStr">
        <is>
          <t>Intl Card Networks</t>
        </is>
      </c>
      <c r="D20" s="5" t="n">
        <v>13375</v>
      </c>
      <c r="E20" s="5" t="n">
        <v>119.04</v>
      </c>
      <c r="F20" s="5" t="n">
        <v>13255.96</v>
      </c>
      <c r="G20" s="6" t="n">
        <v>1</v>
      </c>
      <c r="H20" s="62" t="inlineStr">
        <is>
          <t>PC0001263218</t>
        </is>
      </c>
      <c r="I20" s="62" t="inlineStr">
        <is>
          <t>1107039539599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2026-04-14T09:24:20Z</dcterms:created>
  <dcterms:modified xmlns:dcterms="http://purl.org/dc/terms/" xmlns:xsi="http://www.w3.org/2001/XMLSchema-instance" xsi:type="dcterms:W3CDTF">2026-04-14T09:24:21Z</dcterms:modified>
</cp:coreProperties>
</file>